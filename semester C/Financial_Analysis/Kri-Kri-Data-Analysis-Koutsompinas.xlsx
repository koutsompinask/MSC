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eveloper\MSC\semester C\Financial_Analysis\"/>
    </mc:Choice>
  </mc:AlternateContent>
  <xr:revisionPtr revIDLastSave="0" documentId="13_ncr:1_{3D8C2DCA-C2D1-4DBD-AFDD-0D1EF0F21F45}" xr6:coauthVersionLast="47" xr6:coauthVersionMax="47" xr10:uidLastSave="{00000000-0000-0000-0000-000000000000}"/>
  <bookViews>
    <workbookView xWindow="-108" yWindow="-108" windowWidth="23256" windowHeight="12456" tabRatio="837" firstSheet="1" activeTab="7" xr2:uid="{00000000-000D-0000-FFFF-FFFF00000000}"/>
  </bookViews>
  <sheets>
    <sheet name="Kri-Kri Milk Stock Price Histor" sheetId="1" r:id="rId1"/>
    <sheet name="Beta 5 Year" sheetId="2" r:id="rId2"/>
    <sheet name="Beta 2020" sheetId="3" r:id="rId3"/>
    <sheet name="Beta 2021" sheetId="4" r:id="rId4"/>
    <sheet name="Beta 2022" sheetId="5" r:id="rId5"/>
    <sheet name="Beta 2023" sheetId="6" r:id="rId6"/>
    <sheet name="Beta 2024" sheetId="7" r:id="rId7"/>
    <sheet name="Ισολογισμοί + KAX" sheetId="9" r:id="rId8"/>
    <sheet name="WACC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9" l="1"/>
  <c r="K29" i="9"/>
  <c r="L29" i="9"/>
  <c r="M29" i="9"/>
  <c r="I29" i="9"/>
  <c r="J28" i="9"/>
  <c r="K28" i="9"/>
  <c r="L28" i="9"/>
  <c r="M28" i="9"/>
  <c r="I28" i="9"/>
  <c r="J27" i="9"/>
  <c r="K27" i="9"/>
  <c r="L27" i="9"/>
  <c r="M27" i="9"/>
  <c r="I27" i="9"/>
  <c r="J25" i="9"/>
  <c r="K25" i="9"/>
  <c r="L25" i="9"/>
  <c r="M25" i="9"/>
  <c r="I25" i="9"/>
  <c r="J24" i="9"/>
  <c r="K24" i="9"/>
  <c r="L24" i="9"/>
  <c r="M24" i="9"/>
  <c r="I24" i="9"/>
  <c r="L23" i="9"/>
  <c r="K23" i="9"/>
  <c r="J23" i="9"/>
  <c r="M23" i="9"/>
  <c r="I23" i="9"/>
  <c r="B5" i="10"/>
  <c r="J12" i="9"/>
  <c r="K12" i="9"/>
  <c r="L12" i="9"/>
  <c r="M12" i="9"/>
  <c r="I12" i="9"/>
</calcChain>
</file>

<file path=xl/sharedStrings.xml><?xml version="1.0" encoding="utf-8"?>
<sst xmlns="http://schemas.openxmlformats.org/spreadsheetml/2006/main" count="265" uniqueCount="113">
  <si>
    <t>Date</t>
  </si>
  <si>
    <t>Price KRI KRI</t>
  </si>
  <si>
    <t>Change %</t>
  </si>
  <si>
    <t>Price ATG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</si>
  <si>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</si>
  <si>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</si>
  <si>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</si>
  <si>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</si>
  <si>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</si>
  <si>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</si>
  <si>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</si>
  <si>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</si>
  <si>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</si>
  <si>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</si>
  <si>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</si>
  <si>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</si>
  <si>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</si>
  <si>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</si>
  <si>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</si>
  <si>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</si>
  <si>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</si>
  <si>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</si>
  <si>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</si>
  <si>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</si>
  <si>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</si>
  <si>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</si>
  <si>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</si>
  <si>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</si>
  <si>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</si>
  <si>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</si>
  <si>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Observation</t>
  </si>
  <si>
    <t>Predicted Y</t>
  </si>
  <si>
    <t>Residuals</t>
  </si>
  <si>
    <t>ΕΝΕΡΓΗΤΙΚΟ</t>
  </si>
  <si>
    <t>Μη κυκλοφορούν ενεργητικό</t>
  </si>
  <si>
    <t>Ενσώματα πάγια</t>
  </si>
  <si>
    <t>Δικαιώματα χρήσης παγίων</t>
  </si>
  <si>
    <t>Επενδύσεις σε ακίνητα</t>
  </si>
  <si>
    <t>Άυλα περιουσιακά στοιχεία</t>
  </si>
  <si>
    <t>Λοιπές μακροπρόθεσμες απαιτήσεις</t>
  </si>
  <si>
    <t>Σύνολο μη κυκλοφορούντος ενεργητικού</t>
  </si>
  <si>
    <t>Κυκλοφορούντα Στοιχεία του Ενεργητικού</t>
  </si>
  <si>
    <t>Αποθέματα</t>
  </si>
  <si>
    <t>Πελάτες και λοιπές απαιτήσεις</t>
  </si>
  <si>
    <t>Απαιτήσεις από φόρο εισοδήματος</t>
  </si>
  <si>
    <t>Χρηματοοικονομικά μέσα</t>
  </si>
  <si>
    <t>Δεσμευμένες καταθέσεις</t>
  </si>
  <si>
    <t>Ταμειακά διαθέσιμα και ισοδύναμα</t>
  </si>
  <si>
    <t>Σύνολο κυκλοφορούντος ενεργητικού</t>
  </si>
  <si>
    <t>Σύνολο ενεργητικού</t>
  </si>
  <si>
    <t>ΙΔΙΑ ΚΕΦΑΛΑΙΑ &amp; ΥΠΟΧΡΕΩΣΕΙΣ</t>
  </si>
  <si>
    <t>Ίδια κεφάλαια</t>
  </si>
  <si>
    <t>Μετοχικό κεφάλαιο</t>
  </si>
  <si>
    <t>Αποθεματικά</t>
  </si>
  <si>
    <t>Αποθεματικό ιδίων μετοχών</t>
  </si>
  <si>
    <t>Κέρδη εις νέον</t>
  </si>
  <si>
    <t>Σύνολο ιδίων κεφαλαίων</t>
  </si>
  <si>
    <t>Υποχρεώσεις</t>
  </si>
  <si>
    <t>Μακροπρόθεσμες υποχρεώσεις</t>
  </si>
  <si>
    <t>Μακροπρόθεσμες δανειακές υποχρεώσεις</t>
  </si>
  <si>
    <t>Μακροπρόθεσμες υποχρεώσεις μισθώσεων</t>
  </si>
  <si>
    <t>Υποχρεώσεις παροχών συνταξιοδότησης</t>
  </si>
  <si>
    <t>Αναβαλλόμενες φορολογικές υποχρεώσεις</t>
  </si>
  <si>
    <t>Επιχορηγήσεις</t>
  </si>
  <si>
    <t>Σύνολο μακροπρόθεσμων υποχρεώσεων</t>
  </si>
  <si>
    <t>Βραχυπρόθεσμες υποχρεώσεις</t>
  </si>
  <si>
    <t>Βραχυπρόθεσμες δανειακές υποχρεώσεις</t>
  </si>
  <si>
    <t>Βραχυπρόθεσμες υποχρεώσεις μισθώσεων</t>
  </si>
  <si>
    <t>Προμηθευτές και λοιπές υποχρεώσεις</t>
  </si>
  <si>
    <t>Υποχρεώσεις από φόρο εισοδήματος</t>
  </si>
  <si>
    <t>Σύνολο βραχυπρόθεσμων υποχρεώσεων</t>
  </si>
  <si>
    <t>Σύνολο υποχρεώσεων</t>
  </si>
  <si>
    <t>Σύνολο ιδίων κεφαλαίων και υποχρεώσεων</t>
  </si>
  <si>
    <t>2020</t>
  </si>
  <si>
    <t>2021</t>
  </si>
  <si>
    <t>2022</t>
  </si>
  <si>
    <t>2023</t>
  </si>
  <si>
    <t>2024</t>
  </si>
  <si>
    <t>Κύκλος εργασιών</t>
  </si>
  <si>
    <t>Κόστος πωληθέντων</t>
  </si>
  <si>
    <t>Μικτό κέρδος</t>
  </si>
  <si>
    <t>Έξοδα διάθεσης</t>
  </si>
  <si>
    <t>Έξοδα διοίκησης</t>
  </si>
  <si>
    <t>Έξοδα έρευνας &amp; ανάπτυξης</t>
  </si>
  <si>
    <t>Άλλα έσοδα εκμετάλλευσης</t>
  </si>
  <si>
    <t>Λοιπά κέρδη/(ζημίες) καθαρά</t>
  </si>
  <si>
    <t>Κέρδη προ φόρων, χρηματοδοτικών και επενδυτικών αποτελεσμάτων</t>
  </si>
  <si>
    <t>Χρηματοοικονομικά έσοδα</t>
  </si>
  <si>
    <t>Χρηματοοικονομικά έξοδα</t>
  </si>
  <si>
    <t>Χρηματοοικονομικά έξοδα μισθώσεων</t>
  </si>
  <si>
    <t>Χρηματοοικονομικό αποτέλεσμα (καθαρό)</t>
  </si>
  <si>
    <t>Κέρδη προ φόρων</t>
  </si>
  <si>
    <t>Φόρος εισοδήματος</t>
  </si>
  <si>
    <t>Κέρδη μετά από φόρους (A)</t>
  </si>
  <si>
    <t>Ισολογισμοι (Ποσά σε Ευρώ)</t>
  </si>
  <si>
    <t>ΚΑΧ (Ποσά σε Ευρώ)</t>
  </si>
  <si>
    <t>1) Υπολογισμός Cost of Equity από capm</t>
  </si>
  <si>
    <t>Rf</t>
  </si>
  <si>
    <t xml:space="preserve">Rm </t>
  </si>
  <si>
    <t>b</t>
  </si>
  <si>
    <t>Αποσβέσεις</t>
  </si>
  <si>
    <t>EBIDTA</t>
  </si>
  <si>
    <t>E( R)</t>
  </si>
  <si>
    <t xml:space="preserve">2) υπολογισμός </t>
  </si>
  <si>
    <t xml:space="preserve">Δείκτες </t>
  </si>
  <si>
    <t>Δείκτες Κερδοφορίας</t>
  </si>
  <si>
    <t>ROE</t>
  </si>
  <si>
    <t>ROA</t>
  </si>
  <si>
    <t>ROCE</t>
  </si>
  <si>
    <t>Δείκτες Μόχλευσης</t>
  </si>
  <si>
    <t>Net Dept/Ebidta</t>
  </si>
  <si>
    <t>Dept/Equity</t>
  </si>
  <si>
    <t>Τόκοι / Κέρδη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</si>
</sst>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dd\-mm\-yyyy"/>
    <numFmt numFmtId="175" formatCode="_([$€-2]\ * #,##0.00_);_([$€-2]\ * \(#,##0.00\);_([$€-2]\ * &quot;-&quot;??_);_(@_)"/>
    <numFmt numFmtId="184" formatCode="0.000"/>
    <numFmt numFmtId="186" formatCode="#,##0.000"/>
  </numFmts>
  <fonts count="1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  <charset val="161"/>
    </font>
    <font>
      <b/>
      <sz val="11"/>
      <color theme="0"/>
      <name val="Times New Roman"/>
      <family val="1"/>
      <charset val="161"/>
    </font>
    <font>
      <b/>
      <sz val="11"/>
      <color theme="1"/>
      <name val="Times New Roman"/>
      <family val="1"/>
      <charset val="161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Calibri"/>
      <family val="2"/>
      <charset val="161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  <charset val="161"/>
    </font>
    <font>
      <b/>
      <sz val="11"/>
      <color indexed="56"/>
      <name val="Calibri"/>
      <family val="2"/>
      <charset val="161"/>
    </font>
    <font>
      <b/>
      <sz val="11"/>
      <color theme="0"/>
      <name val="Calibri"/>
      <family val="2"/>
      <charset val="161"/>
    </font>
    <font>
      <b/>
      <sz val="11"/>
      <color indexed="8"/>
      <name val="Calibri"/>
      <family val="2"/>
      <charset val="161"/>
    </font>
    <font>
      <sz val="11"/>
      <color rgb="FF000000"/>
      <name val="Calibri"/>
      <family val="2"/>
      <charset val="161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theme="9" tint="0.39994506668294322"/>
      </bottom>
      <diagonal/>
    </border>
    <border>
      <left/>
      <right/>
      <top/>
      <bottom style="thin">
        <color theme="9" tint="0.39994506668294322"/>
      </bottom>
      <diagonal/>
    </border>
    <border>
      <left/>
      <right style="medium">
        <color auto="1"/>
      </right>
      <top/>
      <bottom style="thin">
        <color theme="9" tint="0.39994506668294322"/>
      </bottom>
      <diagonal/>
    </border>
    <border>
      <left style="medium">
        <color auto="1"/>
      </left>
      <right/>
      <top style="thin">
        <color theme="9" tint="0.39994506668294322"/>
      </top>
      <bottom style="thin">
        <color theme="9" tint="0.39994506668294322"/>
      </bottom>
      <diagonal/>
    </border>
    <border>
      <left/>
      <right/>
      <top style="thin">
        <color theme="9" tint="0.39994506668294322"/>
      </top>
      <bottom style="thin">
        <color theme="9" tint="0.39994506668294322"/>
      </bottom>
      <diagonal/>
    </border>
    <border>
      <left/>
      <right style="medium">
        <color auto="1"/>
      </right>
      <top style="thin">
        <color theme="9" tint="0.39994506668294322"/>
      </top>
      <bottom style="thin">
        <color theme="9" tint="0.39994506668294322"/>
      </bottom>
      <diagonal/>
    </border>
    <border>
      <left style="medium">
        <color auto="1"/>
      </left>
      <right/>
      <top style="thin">
        <color theme="9" tint="0.39994506668294322"/>
      </top>
      <bottom/>
      <diagonal/>
    </border>
    <border>
      <left/>
      <right/>
      <top style="thin">
        <color theme="9" tint="0.39994506668294322"/>
      </top>
      <bottom/>
      <diagonal/>
    </border>
    <border>
      <left/>
      <right style="medium">
        <color auto="1"/>
      </right>
      <top style="thin">
        <color theme="9" tint="0.39994506668294322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>
      <alignment vertical="center"/>
    </xf>
  </cellStyleXfs>
  <cellXfs count="7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4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10" xfId="0" applyFont="1" applyBorder="1"/>
    <xf numFmtId="0" fontId="4" fillId="0" borderId="13" xfId="0" applyFont="1" applyBorder="1"/>
    <xf numFmtId="0" fontId="4" fillId="3" borderId="4" xfId="0" applyFont="1" applyFill="1" applyBorder="1"/>
    <xf numFmtId="0" fontId="4" fillId="0" borderId="7" xfId="0" applyFont="1" applyBorder="1"/>
    <xf numFmtId="0" fontId="2" fillId="0" borderId="13" xfId="0" applyFont="1" applyBorder="1"/>
    <xf numFmtId="0" fontId="4" fillId="0" borderId="10" xfId="0" applyFont="1" applyBorder="1"/>
    <xf numFmtId="0" fontId="5" fillId="0" borderId="16" xfId="0" applyFont="1" applyBorder="1" applyAlignment="1">
      <alignment horizontal="centerContinuous"/>
    </xf>
    <xf numFmtId="0" fontId="6" fillId="3" borderId="0" xfId="0" applyFont="1" applyFill="1"/>
    <xf numFmtId="0" fontId="0" fillId="0" borderId="17" xfId="0" applyBorder="1"/>
    <xf numFmtId="0" fontId="5" fillId="0" borderId="16" xfId="0" applyFont="1" applyBorder="1" applyAlignment="1">
      <alignment horizontal="center"/>
    </xf>
    <xf numFmtId="0" fontId="6" fillId="3" borderId="17" xfId="0" applyFont="1" applyFill="1" applyBorder="1"/>
    <xf numFmtId="0" fontId="7" fillId="0" borderId="0" xfId="0" applyFont="1" applyAlignment="1">
      <alignment vertical="center"/>
    </xf>
    <xf numFmtId="166" fontId="0" fillId="0" borderId="0" xfId="0" applyNumberFormat="1"/>
    <xf numFmtId="10" fontId="0" fillId="0" borderId="0" xfId="0" applyNumberFormat="1"/>
    <xf numFmtId="10" fontId="7" fillId="0" borderId="0" xfId="0" applyNumberFormat="1" applyFont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NumberFormat="1" applyFont="1" applyFill="1" applyBorder="1" applyAlignment="1" applyProtection="1"/>
    <xf numFmtId="0" fontId="11" fillId="0" borderId="0" xfId="0" applyNumberFormat="1" applyFont="1" applyFill="1" applyBorder="1" applyAlignment="1" applyProtection="1"/>
    <xf numFmtId="0" fontId="1" fillId="0" borderId="0" xfId="0" applyFont="1"/>
    <xf numFmtId="175" fontId="7" fillId="0" borderId="0" xfId="0" applyNumberFormat="1" applyFont="1" applyFill="1" applyBorder="1" applyAlignment="1" applyProtection="1"/>
    <xf numFmtId="175" fontId="2" fillId="0" borderId="8" xfId="0" applyNumberFormat="1" applyFont="1" applyBorder="1"/>
    <xf numFmtId="175" fontId="2" fillId="0" borderId="9" xfId="0" applyNumberFormat="1" applyFont="1" applyBorder="1"/>
    <xf numFmtId="175" fontId="2" fillId="0" borderId="11" xfId="0" applyNumberFormat="1" applyFont="1" applyBorder="1"/>
    <xf numFmtId="175" fontId="2" fillId="0" borderId="12" xfId="0" applyNumberFormat="1" applyFont="1" applyBorder="1"/>
    <xf numFmtId="175" fontId="4" fillId="0" borderId="14" xfId="0" applyNumberFormat="1" applyFont="1" applyBorder="1"/>
    <xf numFmtId="175" fontId="4" fillId="0" borderId="15" xfId="0" applyNumberFormat="1" applyFont="1" applyBorder="1"/>
    <xf numFmtId="175" fontId="2" fillId="0" borderId="5" xfId="0" applyNumberFormat="1" applyFont="1" applyBorder="1"/>
    <xf numFmtId="175" fontId="2" fillId="0" borderId="6" xfId="0" applyNumberFormat="1" applyFont="1" applyBorder="1"/>
    <xf numFmtId="175" fontId="4" fillId="3" borderId="5" xfId="0" applyNumberFormat="1" applyFont="1" applyFill="1" applyBorder="1"/>
    <xf numFmtId="175" fontId="4" fillId="3" borderId="6" xfId="0" applyNumberFormat="1" applyFont="1" applyFill="1" applyBorder="1"/>
    <xf numFmtId="175" fontId="2" fillId="0" borderId="14" xfId="0" applyNumberFormat="1" applyFont="1" applyBorder="1"/>
    <xf numFmtId="175" fontId="2" fillId="0" borderId="15" xfId="0" applyNumberFormat="1" applyFont="1" applyBorder="1"/>
    <xf numFmtId="175" fontId="4" fillId="0" borderId="5" xfId="0" applyNumberFormat="1" applyFont="1" applyBorder="1"/>
    <xf numFmtId="175" fontId="4" fillId="0" borderId="6" xfId="0" applyNumberFormat="1" applyFont="1" applyBorder="1"/>
    <xf numFmtId="0" fontId="13" fillId="0" borderId="4" xfId="0" applyNumberFormat="1" applyFont="1" applyFill="1" applyBorder="1" applyAlignment="1" applyProtection="1"/>
    <xf numFmtId="175" fontId="13" fillId="0" borderId="5" xfId="0" applyNumberFormat="1" applyFont="1" applyFill="1" applyBorder="1" applyAlignment="1" applyProtection="1"/>
    <xf numFmtId="175" fontId="8" fillId="0" borderId="5" xfId="0" applyNumberFormat="1" applyFont="1" applyBorder="1"/>
    <xf numFmtId="175" fontId="13" fillId="0" borderId="6" xfId="0" applyNumberFormat="1" applyFont="1" applyFill="1" applyBorder="1" applyAlignment="1" applyProtection="1"/>
    <xf numFmtId="10" fontId="0" fillId="0" borderId="0" xfId="1" applyNumberFormat="1" applyFont="1" applyAlignment="1"/>
    <xf numFmtId="2" fontId="0" fillId="0" borderId="0" xfId="0" applyNumberFormat="1"/>
    <xf numFmtId="0" fontId="7" fillId="0" borderId="18" xfId="0" applyNumberFormat="1" applyFont="1" applyFill="1" applyBorder="1" applyAlignment="1" applyProtection="1"/>
    <xf numFmtId="175" fontId="1" fillId="0" borderId="0" xfId="0" applyNumberFormat="1" applyFont="1" applyBorder="1"/>
    <xf numFmtId="175" fontId="7" fillId="0" borderId="19" xfId="0" applyNumberFormat="1" applyFont="1" applyFill="1" applyBorder="1" applyAlignment="1" applyProtection="1"/>
    <xf numFmtId="0" fontId="14" fillId="0" borderId="18" xfId="0" applyNumberFormat="1" applyFont="1" applyFill="1" applyBorder="1" applyAlignment="1" applyProtection="1"/>
    <xf numFmtId="175" fontId="1" fillId="0" borderId="19" xfId="0" applyNumberFormat="1" applyFont="1" applyBorder="1"/>
    <xf numFmtId="0" fontId="12" fillId="2" borderId="1" xfId="0" applyNumberFormat="1" applyFont="1" applyFill="1" applyBorder="1" applyAlignment="1" applyProtection="1">
      <alignment horizontal="center"/>
    </xf>
    <xf numFmtId="0" fontId="12" fillId="2" borderId="2" xfId="0" applyNumberFormat="1" applyFont="1" applyFill="1" applyBorder="1" applyAlignment="1" applyProtection="1">
      <alignment horizontal="center"/>
    </xf>
    <xf numFmtId="0" fontId="12" fillId="2" borderId="3" xfId="0" applyNumberFormat="1" applyFont="1" applyFill="1" applyBorder="1" applyAlignment="1" applyProtection="1">
      <alignment horizontal="center"/>
    </xf>
    <xf numFmtId="0" fontId="8" fillId="0" borderId="0" xfId="0" applyFont="1" applyAlignment="1">
      <alignment horizontal="center"/>
    </xf>
    <xf numFmtId="186" fontId="7" fillId="0" borderId="0" xfId="0" applyNumberFormat="1" applyFont="1" applyFill="1" applyBorder="1" applyAlignment="1" applyProtection="1"/>
    <xf numFmtId="186" fontId="7" fillId="0" borderId="19" xfId="0" applyNumberFormat="1" applyFont="1" applyFill="1" applyBorder="1" applyAlignment="1" applyProtection="1"/>
    <xf numFmtId="0" fontId="2" fillId="0" borderId="18" xfId="0" applyFont="1" applyBorder="1"/>
    <xf numFmtId="184" fontId="2" fillId="0" borderId="0" xfId="0" applyNumberFormat="1" applyFont="1" applyBorder="1"/>
    <xf numFmtId="184" fontId="2" fillId="0" borderId="19" xfId="0" applyNumberFormat="1" applyFont="1" applyBorder="1"/>
    <xf numFmtId="0" fontId="2" fillId="0" borderId="20" xfId="0" applyFont="1" applyBorder="1"/>
    <xf numFmtId="184" fontId="2" fillId="0" borderId="17" xfId="0" applyNumberFormat="1" applyFont="1" applyBorder="1"/>
    <xf numFmtId="184" fontId="2" fillId="0" borderId="21" xfId="0" applyNumberFormat="1" applyFont="1" applyBorder="1"/>
    <xf numFmtId="0" fontId="10" fillId="0" borderId="4" xfId="0" applyNumberFormat="1" applyFont="1" applyFill="1" applyBorder="1" applyAlignment="1" applyProtection="1"/>
    <xf numFmtId="0" fontId="7" fillId="0" borderId="5" xfId="0" applyNumberFormat="1" applyFont="1" applyFill="1" applyBorder="1" applyAlignment="1" applyProtection="1"/>
    <xf numFmtId="0" fontId="7" fillId="0" borderId="6" xfId="0" applyNumberFormat="1" applyFont="1" applyFill="1" applyBorder="1" applyAlignment="1" applyProtection="1"/>
    <xf numFmtId="3" fontId="7" fillId="0" borderId="5" xfId="0" applyNumberFormat="1" applyFont="1" applyFill="1" applyBorder="1" applyAlignment="1" applyProtection="1"/>
    <xf numFmtId="3" fontId="7" fillId="0" borderId="6" xfId="0" applyNumberFormat="1" applyFont="1" applyFill="1" applyBorder="1" applyAlignment="1" applyProtection="1"/>
    <xf numFmtId="0" fontId="7" fillId="0" borderId="1" xfId="0" applyNumberFormat="1" applyFont="1" applyFill="1" applyBorder="1" applyAlignment="1" applyProtection="1"/>
    <xf numFmtId="186" fontId="7" fillId="0" borderId="2" xfId="0" applyNumberFormat="1" applyFont="1" applyFill="1" applyBorder="1" applyAlignment="1" applyProtection="1"/>
    <xf numFmtId="186" fontId="7" fillId="0" borderId="3" xfId="0" applyNumberFormat="1" applyFont="1" applyFill="1" applyBorder="1" applyAlignment="1" applyProtection="1"/>
    <xf numFmtId="0" fontId="7" fillId="0" borderId="20" xfId="0" applyNumberFormat="1" applyFont="1" applyFill="1" applyBorder="1" applyAlignment="1" applyProtection="1"/>
    <xf numFmtId="186" fontId="7" fillId="0" borderId="17" xfId="0" applyNumberFormat="1" applyFont="1" applyFill="1" applyBorder="1" applyAlignment="1" applyProtection="1"/>
    <xf numFmtId="186" fontId="7" fillId="0" borderId="21" xfId="0" applyNumberFormat="1" applyFont="1" applyFill="1" applyBorder="1" applyAlignment="1" applyProtection="1"/>
    <xf numFmtId="184" fontId="7" fillId="0" borderId="2" xfId="0" applyNumberFormat="1" applyFont="1" applyFill="1" applyBorder="1" applyAlignment="1" applyProtection="1"/>
    <xf numFmtId="184" fontId="7" fillId="0" borderId="3" xfId="0" applyNumberFormat="1" applyFont="1" applyFill="1" applyBorder="1" applyAlignment="1" applyProtection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Kri-Kri Price VS ATG Price</a:t>
            </a:r>
          </a:p>
        </c:rich>
      </c:tx>
      <c:layout>
        <c:manualLayout>
          <c:xMode val="edge"/>
          <c:yMode val="edge"/>
          <c:x val="0.33968471993739102"/>
          <c:y val="1.22324159021407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v>Price ATG</c:v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'Kri-Kri Milk Stock Price Histor'!$A$2:$A$262</c:f>
              <c:numCache>
                <c:formatCode>dd\-mm\-yyyy</c:formatCode>
                <c:ptCount val="261"/>
                <c:pt idx="0">
                  <c:v>43835</c:v>
                </c:pt>
                <c:pt idx="1">
                  <c:v>43842</c:v>
                </c:pt>
                <c:pt idx="2">
                  <c:v>43849</c:v>
                </c:pt>
                <c:pt idx="3">
                  <c:v>43856</c:v>
                </c:pt>
                <c:pt idx="4">
                  <c:v>43863</c:v>
                </c:pt>
                <c:pt idx="5">
                  <c:v>43870</c:v>
                </c:pt>
                <c:pt idx="6">
                  <c:v>43877</c:v>
                </c:pt>
                <c:pt idx="7">
                  <c:v>43884</c:v>
                </c:pt>
                <c:pt idx="8">
                  <c:v>43891</c:v>
                </c:pt>
                <c:pt idx="9">
                  <c:v>43898</c:v>
                </c:pt>
                <c:pt idx="10">
                  <c:v>43905</c:v>
                </c:pt>
                <c:pt idx="11">
                  <c:v>43912</c:v>
                </c:pt>
                <c:pt idx="12">
                  <c:v>43919</c:v>
                </c:pt>
                <c:pt idx="13">
                  <c:v>43926</c:v>
                </c:pt>
                <c:pt idx="14">
                  <c:v>43933</c:v>
                </c:pt>
                <c:pt idx="15">
                  <c:v>43940</c:v>
                </c:pt>
                <c:pt idx="16">
                  <c:v>43947</c:v>
                </c:pt>
                <c:pt idx="17">
                  <c:v>43954</c:v>
                </c:pt>
                <c:pt idx="18">
                  <c:v>43961</c:v>
                </c:pt>
                <c:pt idx="19">
                  <c:v>43968</c:v>
                </c:pt>
                <c:pt idx="20">
                  <c:v>43975</c:v>
                </c:pt>
                <c:pt idx="21">
                  <c:v>43982</c:v>
                </c:pt>
                <c:pt idx="22">
                  <c:v>43989</c:v>
                </c:pt>
                <c:pt idx="23">
                  <c:v>43996</c:v>
                </c:pt>
                <c:pt idx="24">
                  <c:v>44003</c:v>
                </c:pt>
                <c:pt idx="25">
                  <c:v>44010</c:v>
                </c:pt>
                <c:pt idx="26">
                  <c:v>44017</c:v>
                </c:pt>
                <c:pt idx="27">
                  <c:v>44024</c:v>
                </c:pt>
                <c:pt idx="28">
                  <c:v>44031</c:v>
                </c:pt>
                <c:pt idx="29">
                  <c:v>44038</c:v>
                </c:pt>
                <c:pt idx="30">
                  <c:v>44045</c:v>
                </c:pt>
                <c:pt idx="31">
                  <c:v>44052</c:v>
                </c:pt>
                <c:pt idx="32">
                  <c:v>44059</c:v>
                </c:pt>
                <c:pt idx="33">
                  <c:v>44066</c:v>
                </c:pt>
                <c:pt idx="34">
                  <c:v>44073</c:v>
                </c:pt>
                <c:pt idx="35">
                  <c:v>44080</c:v>
                </c:pt>
                <c:pt idx="36">
                  <c:v>44087</c:v>
                </c:pt>
                <c:pt idx="37">
                  <c:v>44094</c:v>
                </c:pt>
                <c:pt idx="38">
                  <c:v>44101</c:v>
                </c:pt>
                <c:pt idx="39">
                  <c:v>44108</c:v>
                </c:pt>
                <c:pt idx="40">
                  <c:v>44115</c:v>
                </c:pt>
                <c:pt idx="41">
                  <c:v>44122</c:v>
                </c:pt>
                <c:pt idx="42">
                  <c:v>44129</c:v>
                </c:pt>
                <c:pt idx="43">
                  <c:v>44136</c:v>
                </c:pt>
                <c:pt idx="44">
                  <c:v>44143</c:v>
                </c:pt>
                <c:pt idx="45">
                  <c:v>44150</c:v>
                </c:pt>
                <c:pt idx="46">
                  <c:v>44157</c:v>
                </c:pt>
                <c:pt idx="47">
                  <c:v>44164</c:v>
                </c:pt>
                <c:pt idx="48">
                  <c:v>44171</c:v>
                </c:pt>
                <c:pt idx="49">
                  <c:v>44178</c:v>
                </c:pt>
                <c:pt idx="50">
                  <c:v>44185</c:v>
                </c:pt>
                <c:pt idx="51">
                  <c:v>44192</c:v>
                </c:pt>
                <c:pt idx="52">
                  <c:v>44199</c:v>
                </c:pt>
                <c:pt idx="53">
                  <c:v>44206</c:v>
                </c:pt>
                <c:pt idx="54">
                  <c:v>44213</c:v>
                </c:pt>
                <c:pt idx="55">
                  <c:v>44220</c:v>
                </c:pt>
                <c:pt idx="56">
                  <c:v>44227</c:v>
                </c:pt>
                <c:pt idx="57">
                  <c:v>44234</c:v>
                </c:pt>
                <c:pt idx="58">
                  <c:v>44241</c:v>
                </c:pt>
                <c:pt idx="59">
                  <c:v>44248</c:v>
                </c:pt>
                <c:pt idx="60">
                  <c:v>44255</c:v>
                </c:pt>
                <c:pt idx="61">
                  <c:v>44262</c:v>
                </c:pt>
                <c:pt idx="62">
                  <c:v>44269</c:v>
                </c:pt>
                <c:pt idx="63">
                  <c:v>44276</c:v>
                </c:pt>
                <c:pt idx="64">
                  <c:v>44283</c:v>
                </c:pt>
                <c:pt idx="65">
                  <c:v>44290</c:v>
                </c:pt>
                <c:pt idx="66">
                  <c:v>44297</c:v>
                </c:pt>
                <c:pt idx="67">
                  <c:v>44304</c:v>
                </c:pt>
                <c:pt idx="68">
                  <c:v>44311</c:v>
                </c:pt>
                <c:pt idx="69">
                  <c:v>44318</c:v>
                </c:pt>
                <c:pt idx="70">
                  <c:v>44325</c:v>
                </c:pt>
                <c:pt idx="71">
                  <c:v>44332</c:v>
                </c:pt>
                <c:pt idx="72">
                  <c:v>44339</c:v>
                </c:pt>
                <c:pt idx="73">
                  <c:v>44346</c:v>
                </c:pt>
                <c:pt idx="74">
                  <c:v>44353</c:v>
                </c:pt>
                <c:pt idx="75">
                  <c:v>44360</c:v>
                </c:pt>
                <c:pt idx="76">
                  <c:v>44367</c:v>
                </c:pt>
                <c:pt idx="77">
                  <c:v>44374</c:v>
                </c:pt>
                <c:pt idx="78">
                  <c:v>44381</c:v>
                </c:pt>
                <c:pt idx="79">
                  <c:v>44388</c:v>
                </c:pt>
                <c:pt idx="80">
                  <c:v>44395</c:v>
                </c:pt>
                <c:pt idx="81">
                  <c:v>44402</c:v>
                </c:pt>
                <c:pt idx="82">
                  <c:v>44409</c:v>
                </c:pt>
                <c:pt idx="83">
                  <c:v>44416</c:v>
                </c:pt>
                <c:pt idx="84">
                  <c:v>44423</c:v>
                </c:pt>
                <c:pt idx="85">
                  <c:v>44430</c:v>
                </c:pt>
                <c:pt idx="86">
                  <c:v>44437</c:v>
                </c:pt>
                <c:pt idx="87">
                  <c:v>44444</c:v>
                </c:pt>
                <c:pt idx="88">
                  <c:v>44451</c:v>
                </c:pt>
                <c:pt idx="89">
                  <c:v>44458</c:v>
                </c:pt>
                <c:pt idx="90">
                  <c:v>44465</c:v>
                </c:pt>
                <c:pt idx="91">
                  <c:v>44472</c:v>
                </c:pt>
                <c:pt idx="92">
                  <c:v>44479</c:v>
                </c:pt>
                <c:pt idx="93">
                  <c:v>44486</c:v>
                </c:pt>
                <c:pt idx="94">
                  <c:v>44493</c:v>
                </c:pt>
                <c:pt idx="95">
                  <c:v>44500</c:v>
                </c:pt>
                <c:pt idx="96">
                  <c:v>44507</c:v>
                </c:pt>
                <c:pt idx="97">
                  <c:v>44514</c:v>
                </c:pt>
                <c:pt idx="98">
                  <c:v>44521</c:v>
                </c:pt>
                <c:pt idx="99">
                  <c:v>44528</c:v>
                </c:pt>
                <c:pt idx="100">
                  <c:v>44535</c:v>
                </c:pt>
                <c:pt idx="101">
                  <c:v>44542</c:v>
                </c:pt>
                <c:pt idx="102">
                  <c:v>44549</c:v>
                </c:pt>
                <c:pt idx="103">
                  <c:v>44556</c:v>
                </c:pt>
                <c:pt idx="104">
                  <c:v>44563</c:v>
                </c:pt>
                <c:pt idx="105">
                  <c:v>44570</c:v>
                </c:pt>
                <c:pt idx="106">
                  <c:v>44577</c:v>
                </c:pt>
                <c:pt idx="107">
                  <c:v>44584</c:v>
                </c:pt>
                <c:pt idx="108">
                  <c:v>44591</c:v>
                </c:pt>
                <c:pt idx="109">
                  <c:v>44598</c:v>
                </c:pt>
                <c:pt idx="110">
                  <c:v>44605</c:v>
                </c:pt>
                <c:pt idx="111">
                  <c:v>44612</c:v>
                </c:pt>
                <c:pt idx="112">
                  <c:v>44619</c:v>
                </c:pt>
                <c:pt idx="113">
                  <c:v>44626</c:v>
                </c:pt>
                <c:pt idx="114">
                  <c:v>44633</c:v>
                </c:pt>
                <c:pt idx="115">
                  <c:v>44640</c:v>
                </c:pt>
                <c:pt idx="116">
                  <c:v>44647</c:v>
                </c:pt>
                <c:pt idx="117">
                  <c:v>44654</c:v>
                </c:pt>
                <c:pt idx="118">
                  <c:v>44661</c:v>
                </c:pt>
                <c:pt idx="119">
                  <c:v>44668</c:v>
                </c:pt>
                <c:pt idx="120">
                  <c:v>44675</c:v>
                </c:pt>
                <c:pt idx="121">
                  <c:v>44682</c:v>
                </c:pt>
                <c:pt idx="122">
                  <c:v>44689</c:v>
                </c:pt>
                <c:pt idx="123">
                  <c:v>44696</c:v>
                </c:pt>
                <c:pt idx="124">
                  <c:v>44703</c:v>
                </c:pt>
                <c:pt idx="125">
                  <c:v>44710</c:v>
                </c:pt>
                <c:pt idx="126">
                  <c:v>44717</c:v>
                </c:pt>
                <c:pt idx="127">
                  <c:v>44724</c:v>
                </c:pt>
                <c:pt idx="128">
                  <c:v>44731</c:v>
                </c:pt>
                <c:pt idx="129">
                  <c:v>44738</c:v>
                </c:pt>
                <c:pt idx="130">
                  <c:v>44745</c:v>
                </c:pt>
                <c:pt idx="131">
                  <c:v>44752</c:v>
                </c:pt>
                <c:pt idx="132">
                  <c:v>44759</c:v>
                </c:pt>
                <c:pt idx="133">
                  <c:v>44766</c:v>
                </c:pt>
                <c:pt idx="134">
                  <c:v>44773</c:v>
                </c:pt>
                <c:pt idx="135">
                  <c:v>44780</c:v>
                </c:pt>
                <c:pt idx="136">
                  <c:v>44787</c:v>
                </c:pt>
                <c:pt idx="137">
                  <c:v>44794</c:v>
                </c:pt>
                <c:pt idx="138">
                  <c:v>44801</c:v>
                </c:pt>
                <c:pt idx="139">
                  <c:v>44808</c:v>
                </c:pt>
                <c:pt idx="140">
                  <c:v>44815</c:v>
                </c:pt>
                <c:pt idx="141">
                  <c:v>44822</c:v>
                </c:pt>
                <c:pt idx="142">
                  <c:v>44829</c:v>
                </c:pt>
                <c:pt idx="143">
                  <c:v>44836</c:v>
                </c:pt>
                <c:pt idx="144">
                  <c:v>44843</c:v>
                </c:pt>
                <c:pt idx="145">
                  <c:v>44850</c:v>
                </c:pt>
                <c:pt idx="146">
                  <c:v>44857</c:v>
                </c:pt>
                <c:pt idx="147">
                  <c:v>44864</c:v>
                </c:pt>
                <c:pt idx="148">
                  <c:v>44871</c:v>
                </c:pt>
                <c:pt idx="149">
                  <c:v>44878</c:v>
                </c:pt>
                <c:pt idx="150">
                  <c:v>44885</c:v>
                </c:pt>
                <c:pt idx="151">
                  <c:v>44892</c:v>
                </c:pt>
                <c:pt idx="152">
                  <c:v>44899</c:v>
                </c:pt>
                <c:pt idx="153">
                  <c:v>44906</c:v>
                </c:pt>
                <c:pt idx="154">
                  <c:v>44913</c:v>
                </c:pt>
                <c:pt idx="155">
                  <c:v>44920</c:v>
                </c:pt>
                <c:pt idx="156">
                  <c:v>44927</c:v>
                </c:pt>
                <c:pt idx="157">
                  <c:v>44934</c:v>
                </c:pt>
                <c:pt idx="158">
                  <c:v>44941</c:v>
                </c:pt>
                <c:pt idx="159">
                  <c:v>44948</c:v>
                </c:pt>
                <c:pt idx="160">
                  <c:v>44955</c:v>
                </c:pt>
                <c:pt idx="161">
                  <c:v>44962</c:v>
                </c:pt>
                <c:pt idx="162">
                  <c:v>44969</c:v>
                </c:pt>
                <c:pt idx="163">
                  <c:v>44976</c:v>
                </c:pt>
                <c:pt idx="164">
                  <c:v>44983</c:v>
                </c:pt>
                <c:pt idx="165">
                  <c:v>44990</c:v>
                </c:pt>
                <c:pt idx="166">
                  <c:v>44997</c:v>
                </c:pt>
                <c:pt idx="167">
                  <c:v>45004</c:v>
                </c:pt>
                <c:pt idx="168">
                  <c:v>45011</c:v>
                </c:pt>
                <c:pt idx="169">
                  <c:v>45018</c:v>
                </c:pt>
                <c:pt idx="170">
                  <c:v>45025</c:v>
                </c:pt>
                <c:pt idx="171">
                  <c:v>45032</c:v>
                </c:pt>
                <c:pt idx="172">
                  <c:v>45039</c:v>
                </c:pt>
                <c:pt idx="173">
                  <c:v>45046</c:v>
                </c:pt>
                <c:pt idx="174">
                  <c:v>45053</c:v>
                </c:pt>
                <c:pt idx="175">
                  <c:v>45060</c:v>
                </c:pt>
                <c:pt idx="176">
                  <c:v>45067</c:v>
                </c:pt>
                <c:pt idx="177">
                  <c:v>45074</c:v>
                </c:pt>
                <c:pt idx="178">
                  <c:v>45081</c:v>
                </c:pt>
                <c:pt idx="179">
                  <c:v>45088</c:v>
                </c:pt>
                <c:pt idx="180">
                  <c:v>45095</c:v>
                </c:pt>
                <c:pt idx="181">
                  <c:v>45102</c:v>
                </c:pt>
                <c:pt idx="182">
                  <c:v>45109</c:v>
                </c:pt>
                <c:pt idx="183">
                  <c:v>45116</c:v>
                </c:pt>
                <c:pt idx="184">
                  <c:v>45123</c:v>
                </c:pt>
                <c:pt idx="185">
                  <c:v>45130</c:v>
                </c:pt>
                <c:pt idx="186">
                  <c:v>45137</c:v>
                </c:pt>
                <c:pt idx="187">
                  <c:v>45144</c:v>
                </c:pt>
                <c:pt idx="188">
                  <c:v>45151</c:v>
                </c:pt>
                <c:pt idx="189">
                  <c:v>45158</c:v>
                </c:pt>
                <c:pt idx="190">
                  <c:v>45165</c:v>
                </c:pt>
                <c:pt idx="191">
                  <c:v>45172</c:v>
                </c:pt>
                <c:pt idx="192">
                  <c:v>45179</c:v>
                </c:pt>
                <c:pt idx="193">
                  <c:v>45186</c:v>
                </c:pt>
                <c:pt idx="194">
                  <c:v>45193</c:v>
                </c:pt>
                <c:pt idx="195">
                  <c:v>45200</c:v>
                </c:pt>
                <c:pt idx="196">
                  <c:v>45207</c:v>
                </c:pt>
                <c:pt idx="197">
                  <c:v>45214</c:v>
                </c:pt>
                <c:pt idx="198">
                  <c:v>45221</c:v>
                </c:pt>
                <c:pt idx="199">
                  <c:v>45228</c:v>
                </c:pt>
                <c:pt idx="200">
                  <c:v>45235</c:v>
                </c:pt>
                <c:pt idx="201">
                  <c:v>45242</c:v>
                </c:pt>
                <c:pt idx="202">
                  <c:v>45249</c:v>
                </c:pt>
                <c:pt idx="203">
                  <c:v>45256</c:v>
                </c:pt>
                <c:pt idx="204">
                  <c:v>45263</c:v>
                </c:pt>
                <c:pt idx="205">
                  <c:v>45270</c:v>
                </c:pt>
                <c:pt idx="206">
                  <c:v>45277</c:v>
                </c:pt>
                <c:pt idx="207">
                  <c:v>45284</c:v>
                </c:pt>
                <c:pt idx="208">
                  <c:v>45291</c:v>
                </c:pt>
                <c:pt idx="209">
                  <c:v>45298</c:v>
                </c:pt>
                <c:pt idx="210">
                  <c:v>45305</c:v>
                </c:pt>
                <c:pt idx="211">
                  <c:v>45312</c:v>
                </c:pt>
                <c:pt idx="212">
                  <c:v>45319</c:v>
                </c:pt>
                <c:pt idx="213">
                  <c:v>45326</c:v>
                </c:pt>
                <c:pt idx="214">
                  <c:v>45333</c:v>
                </c:pt>
                <c:pt idx="215">
                  <c:v>45340</c:v>
                </c:pt>
                <c:pt idx="216">
                  <c:v>45347</c:v>
                </c:pt>
                <c:pt idx="217">
                  <c:v>45354</c:v>
                </c:pt>
                <c:pt idx="218">
                  <c:v>45361</c:v>
                </c:pt>
                <c:pt idx="219">
                  <c:v>45368</c:v>
                </c:pt>
                <c:pt idx="220">
                  <c:v>45375</c:v>
                </c:pt>
                <c:pt idx="221">
                  <c:v>45382</c:v>
                </c:pt>
                <c:pt idx="222">
                  <c:v>45389</c:v>
                </c:pt>
                <c:pt idx="223">
                  <c:v>45396</c:v>
                </c:pt>
                <c:pt idx="224">
                  <c:v>45403</c:v>
                </c:pt>
                <c:pt idx="225">
                  <c:v>45410</c:v>
                </c:pt>
                <c:pt idx="226">
                  <c:v>45417</c:v>
                </c:pt>
                <c:pt idx="227">
                  <c:v>45424</c:v>
                </c:pt>
                <c:pt idx="228">
                  <c:v>45431</c:v>
                </c:pt>
                <c:pt idx="229">
                  <c:v>45438</c:v>
                </c:pt>
                <c:pt idx="230">
                  <c:v>45445</c:v>
                </c:pt>
                <c:pt idx="231">
                  <c:v>45452</c:v>
                </c:pt>
                <c:pt idx="232">
                  <c:v>45459</c:v>
                </c:pt>
                <c:pt idx="233">
                  <c:v>45466</c:v>
                </c:pt>
                <c:pt idx="234">
                  <c:v>45473</c:v>
                </c:pt>
                <c:pt idx="235">
                  <c:v>45480</c:v>
                </c:pt>
                <c:pt idx="236">
                  <c:v>45487</c:v>
                </c:pt>
                <c:pt idx="237">
                  <c:v>45494</c:v>
                </c:pt>
                <c:pt idx="238">
                  <c:v>45501</c:v>
                </c:pt>
                <c:pt idx="239">
                  <c:v>45508</c:v>
                </c:pt>
                <c:pt idx="240">
                  <c:v>45515</c:v>
                </c:pt>
                <c:pt idx="241">
                  <c:v>45522</c:v>
                </c:pt>
                <c:pt idx="242">
                  <c:v>45529</c:v>
                </c:pt>
                <c:pt idx="243">
                  <c:v>45536</c:v>
                </c:pt>
                <c:pt idx="244">
                  <c:v>45543</c:v>
                </c:pt>
                <c:pt idx="245">
                  <c:v>45550</c:v>
                </c:pt>
                <c:pt idx="246">
                  <c:v>45557</c:v>
                </c:pt>
                <c:pt idx="247">
                  <c:v>45564</c:v>
                </c:pt>
                <c:pt idx="248">
                  <c:v>45571</c:v>
                </c:pt>
                <c:pt idx="249">
                  <c:v>45578</c:v>
                </c:pt>
                <c:pt idx="250">
                  <c:v>45585</c:v>
                </c:pt>
                <c:pt idx="251">
                  <c:v>45592</c:v>
                </c:pt>
                <c:pt idx="252">
                  <c:v>45599</c:v>
                </c:pt>
                <c:pt idx="253">
                  <c:v>45606</c:v>
                </c:pt>
                <c:pt idx="254">
                  <c:v>45613</c:v>
                </c:pt>
                <c:pt idx="255">
                  <c:v>45620</c:v>
                </c:pt>
                <c:pt idx="256">
                  <c:v>45627</c:v>
                </c:pt>
                <c:pt idx="257">
                  <c:v>45634</c:v>
                </c:pt>
                <c:pt idx="258">
                  <c:v>45641</c:v>
                </c:pt>
                <c:pt idx="259">
                  <c:v>45648</c:v>
                </c:pt>
                <c:pt idx="260">
                  <c:v>45655</c:v>
                </c:pt>
              </c:numCache>
            </c:numRef>
          </c:cat>
          <c:val>
            <c:numRef>
              <c:f>'Kri-Kri Milk Stock Price Histor'!$D$2:$D$262</c:f>
              <c:numCache>
                <c:formatCode>General</c:formatCode>
                <c:ptCount val="261"/>
                <c:pt idx="0">
                  <c:v>923.63</c:v>
                </c:pt>
                <c:pt idx="1">
                  <c:v>934.22</c:v>
                </c:pt>
                <c:pt idx="2">
                  <c:v>948.64</c:v>
                </c:pt>
                <c:pt idx="3">
                  <c:v>910.9</c:v>
                </c:pt>
                <c:pt idx="4">
                  <c:v>910.91</c:v>
                </c:pt>
                <c:pt idx="5">
                  <c:v>922.3</c:v>
                </c:pt>
                <c:pt idx="6">
                  <c:v>893.03</c:v>
                </c:pt>
                <c:pt idx="7">
                  <c:v>720.35</c:v>
                </c:pt>
                <c:pt idx="8">
                  <c:v>684.74</c:v>
                </c:pt>
                <c:pt idx="9">
                  <c:v>551.97</c:v>
                </c:pt>
                <c:pt idx="10">
                  <c:v>555.13</c:v>
                </c:pt>
                <c:pt idx="11">
                  <c:v>550.85</c:v>
                </c:pt>
                <c:pt idx="12">
                  <c:v>540.74</c:v>
                </c:pt>
                <c:pt idx="13">
                  <c:v>607.29</c:v>
                </c:pt>
                <c:pt idx="14">
                  <c:v>606.75</c:v>
                </c:pt>
                <c:pt idx="15">
                  <c:v>606.41</c:v>
                </c:pt>
                <c:pt idx="16">
                  <c:v>628.25</c:v>
                </c:pt>
                <c:pt idx="17">
                  <c:v>604.04999999999995</c:v>
                </c:pt>
                <c:pt idx="18">
                  <c:v>593.26</c:v>
                </c:pt>
                <c:pt idx="19">
                  <c:v>609.20000000000005</c:v>
                </c:pt>
                <c:pt idx="20">
                  <c:v>652.58000000000004</c:v>
                </c:pt>
                <c:pt idx="21">
                  <c:v>683.46</c:v>
                </c:pt>
                <c:pt idx="22">
                  <c:v>646.79999999999995</c:v>
                </c:pt>
                <c:pt idx="23">
                  <c:v>668.34</c:v>
                </c:pt>
                <c:pt idx="24">
                  <c:v>641.95000000000005</c:v>
                </c:pt>
                <c:pt idx="25">
                  <c:v>658.55</c:v>
                </c:pt>
                <c:pt idx="26">
                  <c:v>632.97</c:v>
                </c:pt>
                <c:pt idx="27">
                  <c:v>641.48</c:v>
                </c:pt>
                <c:pt idx="28">
                  <c:v>634.32000000000005</c:v>
                </c:pt>
                <c:pt idx="29">
                  <c:v>617.61</c:v>
                </c:pt>
                <c:pt idx="30">
                  <c:v>632.63</c:v>
                </c:pt>
                <c:pt idx="31">
                  <c:v>634.37</c:v>
                </c:pt>
                <c:pt idx="32">
                  <c:v>633.27</c:v>
                </c:pt>
                <c:pt idx="33">
                  <c:v>634.47</c:v>
                </c:pt>
                <c:pt idx="34">
                  <c:v>639.29</c:v>
                </c:pt>
                <c:pt idx="35">
                  <c:v>636.03</c:v>
                </c:pt>
                <c:pt idx="36">
                  <c:v>658.54</c:v>
                </c:pt>
                <c:pt idx="37">
                  <c:v>617.9</c:v>
                </c:pt>
                <c:pt idx="38">
                  <c:v>625.66999999999996</c:v>
                </c:pt>
                <c:pt idx="39">
                  <c:v>651.47</c:v>
                </c:pt>
                <c:pt idx="40">
                  <c:v>620.17999999999995</c:v>
                </c:pt>
                <c:pt idx="41">
                  <c:v>612.32000000000005</c:v>
                </c:pt>
                <c:pt idx="42">
                  <c:v>569.5</c:v>
                </c:pt>
                <c:pt idx="43">
                  <c:v>588.1</c:v>
                </c:pt>
                <c:pt idx="44">
                  <c:v>655.68</c:v>
                </c:pt>
                <c:pt idx="45">
                  <c:v>699.45</c:v>
                </c:pt>
                <c:pt idx="46">
                  <c:v>736.6</c:v>
                </c:pt>
                <c:pt idx="47">
                  <c:v>784.95</c:v>
                </c:pt>
                <c:pt idx="48">
                  <c:v>779.04</c:v>
                </c:pt>
                <c:pt idx="49">
                  <c:v>800.06</c:v>
                </c:pt>
                <c:pt idx="50">
                  <c:v>787.48</c:v>
                </c:pt>
                <c:pt idx="51">
                  <c:v>808.99</c:v>
                </c:pt>
                <c:pt idx="52">
                  <c:v>819.27</c:v>
                </c:pt>
                <c:pt idx="53">
                  <c:v>790.14</c:v>
                </c:pt>
                <c:pt idx="54">
                  <c:v>778.98</c:v>
                </c:pt>
                <c:pt idx="55">
                  <c:v>749.46</c:v>
                </c:pt>
                <c:pt idx="56">
                  <c:v>764.6</c:v>
                </c:pt>
                <c:pt idx="57">
                  <c:v>776.09</c:v>
                </c:pt>
                <c:pt idx="58">
                  <c:v>781.42</c:v>
                </c:pt>
                <c:pt idx="59">
                  <c:v>792.38</c:v>
                </c:pt>
                <c:pt idx="60">
                  <c:v>825.02</c:v>
                </c:pt>
                <c:pt idx="61">
                  <c:v>849.81</c:v>
                </c:pt>
                <c:pt idx="62">
                  <c:v>833.07</c:v>
                </c:pt>
                <c:pt idx="63">
                  <c:v>851.82</c:v>
                </c:pt>
                <c:pt idx="64">
                  <c:v>875.22</c:v>
                </c:pt>
                <c:pt idx="65">
                  <c:v>891.69</c:v>
                </c:pt>
                <c:pt idx="66">
                  <c:v>898.63</c:v>
                </c:pt>
                <c:pt idx="67">
                  <c:v>899.58</c:v>
                </c:pt>
                <c:pt idx="68">
                  <c:v>910.37</c:v>
                </c:pt>
                <c:pt idx="69">
                  <c:v>897.01</c:v>
                </c:pt>
                <c:pt idx="70">
                  <c:v>907.08</c:v>
                </c:pt>
                <c:pt idx="71">
                  <c:v>867.56</c:v>
                </c:pt>
                <c:pt idx="72">
                  <c:v>887.6</c:v>
                </c:pt>
                <c:pt idx="73">
                  <c:v>901.6</c:v>
                </c:pt>
                <c:pt idx="74">
                  <c:v>925.83</c:v>
                </c:pt>
                <c:pt idx="75">
                  <c:v>905.55</c:v>
                </c:pt>
                <c:pt idx="76">
                  <c:v>907.76</c:v>
                </c:pt>
                <c:pt idx="77">
                  <c:v>886.66</c:v>
                </c:pt>
                <c:pt idx="78">
                  <c:v>874.25</c:v>
                </c:pt>
                <c:pt idx="79">
                  <c:v>866.81</c:v>
                </c:pt>
                <c:pt idx="80">
                  <c:v>864.44</c:v>
                </c:pt>
                <c:pt idx="81">
                  <c:v>888.26</c:v>
                </c:pt>
                <c:pt idx="82">
                  <c:v>893.47</c:v>
                </c:pt>
                <c:pt idx="83">
                  <c:v>895.29</c:v>
                </c:pt>
                <c:pt idx="84">
                  <c:v>883.11</c:v>
                </c:pt>
                <c:pt idx="85">
                  <c:v>914.39</c:v>
                </c:pt>
                <c:pt idx="86">
                  <c:v>915.05</c:v>
                </c:pt>
                <c:pt idx="87">
                  <c:v>901.13</c:v>
                </c:pt>
                <c:pt idx="88">
                  <c:v>912.81</c:v>
                </c:pt>
                <c:pt idx="89">
                  <c:v>873.1</c:v>
                </c:pt>
                <c:pt idx="90">
                  <c:v>871.06</c:v>
                </c:pt>
                <c:pt idx="91">
                  <c:v>892.6</c:v>
                </c:pt>
                <c:pt idx="92">
                  <c:v>894.74</c:v>
                </c:pt>
                <c:pt idx="93">
                  <c:v>905.04</c:v>
                </c:pt>
                <c:pt idx="94">
                  <c:v>898.06</c:v>
                </c:pt>
                <c:pt idx="95">
                  <c:v>906.85</c:v>
                </c:pt>
                <c:pt idx="96">
                  <c:v>913.94</c:v>
                </c:pt>
                <c:pt idx="97">
                  <c:v>915.02</c:v>
                </c:pt>
                <c:pt idx="98">
                  <c:v>858.93</c:v>
                </c:pt>
                <c:pt idx="99">
                  <c:v>879.23</c:v>
                </c:pt>
                <c:pt idx="100">
                  <c:v>898.63</c:v>
                </c:pt>
                <c:pt idx="101">
                  <c:v>887.5</c:v>
                </c:pt>
                <c:pt idx="102">
                  <c:v>890.73</c:v>
                </c:pt>
                <c:pt idx="103">
                  <c:v>893.34</c:v>
                </c:pt>
                <c:pt idx="104">
                  <c:v>906.48</c:v>
                </c:pt>
                <c:pt idx="105">
                  <c:v>949.39</c:v>
                </c:pt>
                <c:pt idx="106">
                  <c:v>942.46</c:v>
                </c:pt>
                <c:pt idx="107">
                  <c:v>924.42</c:v>
                </c:pt>
                <c:pt idx="108">
                  <c:v>945</c:v>
                </c:pt>
                <c:pt idx="109">
                  <c:v>971.09</c:v>
                </c:pt>
                <c:pt idx="110">
                  <c:v>955.93</c:v>
                </c:pt>
                <c:pt idx="111">
                  <c:v>927.25</c:v>
                </c:pt>
                <c:pt idx="112">
                  <c:v>821.74</c:v>
                </c:pt>
                <c:pt idx="113">
                  <c:v>827.96</c:v>
                </c:pt>
                <c:pt idx="114">
                  <c:v>862.86</c:v>
                </c:pt>
                <c:pt idx="115">
                  <c:v>843.11</c:v>
                </c:pt>
                <c:pt idx="116">
                  <c:v>890.7</c:v>
                </c:pt>
                <c:pt idx="117">
                  <c:v>906.26</c:v>
                </c:pt>
                <c:pt idx="118">
                  <c:v>918.96</c:v>
                </c:pt>
                <c:pt idx="119">
                  <c:v>949.68</c:v>
                </c:pt>
                <c:pt idx="120">
                  <c:v>922.43</c:v>
                </c:pt>
                <c:pt idx="121">
                  <c:v>866.75</c:v>
                </c:pt>
                <c:pt idx="122">
                  <c:v>867.03</c:v>
                </c:pt>
                <c:pt idx="123">
                  <c:v>860.06</c:v>
                </c:pt>
                <c:pt idx="124">
                  <c:v>891.41</c:v>
                </c:pt>
                <c:pt idx="125">
                  <c:v>896.89</c:v>
                </c:pt>
                <c:pt idx="126">
                  <c:v>862.55</c:v>
                </c:pt>
                <c:pt idx="127">
                  <c:v>825.41</c:v>
                </c:pt>
                <c:pt idx="128">
                  <c:v>834.83</c:v>
                </c:pt>
                <c:pt idx="129">
                  <c:v>805.79</c:v>
                </c:pt>
                <c:pt idx="130">
                  <c:v>802.16</c:v>
                </c:pt>
                <c:pt idx="131">
                  <c:v>794.62</c:v>
                </c:pt>
                <c:pt idx="132">
                  <c:v>829.97</c:v>
                </c:pt>
                <c:pt idx="133">
                  <c:v>851.05</c:v>
                </c:pt>
                <c:pt idx="134">
                  <c:v>849.23</c:v>
                </c:pt>
                <c:pt idx="135">
                  <c:v>878.76</c:v>
                </c:pt>
                <c:pt idx="136">
                  <c:v>899.16</c:v>
                </c:pt>
                <c:pt idx="137">
                  <c:v>893.74</c:v>
                </c:pt>
                <c:pt idx="138">
                  <c:v>844.78</c:v>
                </c:pt>
                <c:pt idx="139">
                  <c:v>841.91</c:v>
                </c:pt>
                <c:pt idx="140">
                  <c:v>836.17</c:v>
                </c:pt>
                <c:pt idx="141">
                  <c:v>798.11</c:v>
                </c:pt>
                <c:pt idx="142">
                  <c:v>792.9</c:v>
                </c:pt>
                <c:pt idx="143">
                  <c:v>814.06</c:v>
                </c:pt>
                <c:pt idx="144">
                  <c:v>832.32</c:v>
                </c:pt>
                <c:pt idx="145">
                  <c:v>854.99</c:v>
                </c:pt>
                <c:pt idx="146">
                  <c:v>860.76</c:v>
                </c:pt>
                <c:pt idx="147">
                  <c:v>879.1</c:v>
                </c:pt>
                <c:pt idx="148">
                  <c:v>897.78</c:v>
                </c:pt>
                <c:pt idx="149">
                  <c:v>889.9</c:v>
                </c:pt>
                <c:pt idx="150">
                  <c:v>917.64</c:v>
                </c:pt>
                <c:pt idx="151">
                  <c:v>903.97</c:v>
                </c:pt>
                <c:pt idx="152">
                  <c:v>915.99</c:v>
                </c:pt>
                <c:pt idx="153">
                  <c:v>911.85</c:v>
                </c:pt>
                <c:pt idx="154">
                  <c:v>921.25</c:v>
                </c:pt>
                <c:pt idx="155">
                  <c:v>929.79</c:v>
                </c:pt>
                <c:pt idx="156">
                  <c:v>951.45</c:v>
                </c:pt>
                <c:pt idx="157">
                  <c:v>968.38</c:v>
                </c:pt>
                <c:pt idx="158">
                  <c:v>979.06</c:v>
                </c:pt>
                <c:pt idx="159" formatCode="#,##0.00">
                  <c:v>1015.48</c:v>
                </c:pt>
                <c:pt idx="160" formatCode="#,##0.00">
                  <c:v>1033.44</c:v>
                </c:pt>
                <c:pt idx="161" formatCode="#,##0.00">
                  <c:v>1068.1199999999999</c:v>
                </c:pt>
                <c:pt idx="162" formatCode="#,##0.00">
                  <c:v>1102.76</c:v>
                </c:pt>
                <c:pt idx="163" formatCode="#,##0.00">
                  <c:v>1113.3599999999999</c:v>
                </c:pt>
                <c:pt idx="164" formatCode="#,##0.00">
                  <c:v>1114.68</c:v>
                </c:pt>
                <c:pt idx="165" formatCode="#,##0.00">
                  <c:v>1056.26</c:v>
                </c:pt>
                <c:pt idx="166" formatCode="#,##0.00">
                  <c:v>1020.19</c:v>
                </c:pt>
                <c:pt idx="167" formatCode="#,##0.00">
                  <c:v>1021.16</c:v>
                </c:pt>
                <c:pt idx="168" formatCode="#,##0.00">
                  <c:v>1054.5899999999999</c:v>
                </c:pt>
                <c:pt idx="169" formatCode="#,##0.00">
                  <c:v>1074</c:v>
                </c:pt>
                <c:pt idx="170" formatCode="#,##0.00">
                  <c:v>1102.79</c:v>
                </c:pt>
                <c:pt idx="171" formatCode="#,##0.00">
                  <c:v>1111.33</c:v>
                </c:pt>
                <c:pt idx="172" formatCode="#,##0.00">
                  <c:v>1085.1099999999999</c:v>
                </c:pt>
                <c:pt idx="173" formatCode="#,##0.00">
                  <c:v>1111.24</c:v>
                </c:pt>
                <c:pt idx="174" formatCode="#,##0.00">
                  <c:v>1122.75</c:v>
                </c:pt>
                <c:pt idx="175" formatCode="#,##0.00">
                  <c:v>1132.3399999999999</c:v>
                </c:pt>
                <c:pt idx="176" formatCode="#,##0.00">
                  <c:v>1220.8900000000001</c:v>
                </c:pt>
                <c:pt idx="177" formatCode="#,##0.00">
                  <c:v>1217.8599999999999</c:v>
                </c:pt>
                <c:pt idx="178" formatCode="#,##0.00">
                  <c:v>1261.67</c:v>
                </c:pt>
                <c:pt idx="179" formatCode="#,##0.00">
                  <c:v>1277.56</c:v>
                </c:pt>
                <c:pt idx="180" formatCode="#,##0.00">
                  <c:v>1268.71</c:v>
                </c:pt>
                <c:pt idx="181" formatCode="#,##0.00">
                  <c:v>1278.6099999999999</c:v>
                </c:pt>
                <c:pt idx="182" formatCode="#,##0.00">
                  <c:v>1278.3</c:v>
                </c:pt>
                <c:pt idx="183" formatCode="#,##0.00">
                  <c:v>1325.61</c:v>
                </c:pt>
                <c:pt idx="184" formatCode="#,##0.00">
                  <c:v>1339.18</c:v>
                </c:pt>
                <c:pt idx="185" formatCode="#,##0.00">
                  <c:v>1333.86</c:v>
                </c:pt>
                <c:pt idx="186" formatCode="#,##0.00">
                  <c:v>1319.52</c:v>
                </c:pt>
                <c:pt idx="187" formatCode="#,##0.00">
                  <c:v>1286.8599999999999</c:v>
                </c:pt>
                <c:pt idx="188" formatCode="#,##0.00">
                  <c:v>1263.3399999999999</c:v>
                </c:pt>
                <c:pt idx="189" formatCode="#,##0.00">
                  <c:v>1299.76</c:v>
                </c:pt>
                <c:pt idx="190" formatCode="#,##0.00">
                  <c:v>1299.47</c:v>
                </c:pt>
                <c:pt idx="191" formatCode="#,##0.00">
                  <c:v>1259.5</c:v>
                </c:pt>
                <c:pt idx="192" formatCode="#,##0.00">
                  <c:v>1258.58</c:v>
                </c:pt>
                <c:pt idx="193" formatCode="#,##0.00">
                  <c:v>1217.75</c:v>
                </c:pt>
                <c:pt idx="194" formatCode="#,##0.00">
                  <c:v>1209.3399999999999</c:v>
                </c:pt>
                <c:pt idx="195" formatCode="#,##0.00">
                  <c:v>1136.93</c:v>
                </c:pt>
                <c:pt idx="196" formatCode="#,##0.00">
                  <c:v>1169.6600000000001</c:v>
                </c:pt>
                <c:pt idx="197" formatCode="#,##0.00">
                  <c:v>1174.9100000000001</c:v>
                </c:pt>
                <c:pt idx="198" formatCode="#,##0.00">
                  <c:v>1178.79</c:v>
                </c:pt>
                <c:pt idx="199" formatCode="#,##0.00">
                  <c:v>1219.77</c:v>
                </c:pt>
                <c:pt idx="200" formatCode="#,##0.00">
                  <c:v>1203.08</c:v>
                </c:pt>
                <c:pt idx="201" formatCode="#,##0.00">
                  <c:v>1250.44</c:v>
                </c:pt>
                <c:pt idx="202" formatCode="#,##0.00">
                  <c:v>1258.73</c:v>
                </c:pt>
                <c:pt idx="203" formatCode="#,##0.00">
                  <c:v>1280.1099999999999</c:v>
                </c:pt>
                <c:pt idx="204" formatCode="#,##0.00">
                  <c:v>1275.0899999999999</c:v>
                </c:pt>
                <c:pt idx="205" formatCode="#,##0.00">
                  <c:v>1290.79</c:v>
                </c:pt>
                <c:pt idx="206" formatCode="#,##0.00">
                  <c:v>1290.8900000000001</c:v>
                </c:pt>
                <c:pt idx="207" formatCode="#,##0.00">
                  <c:v>1293.1400000000001</c:v>
                </c:pt>
                <c:pt idx="208" formatCode="#,##0.00">
                  <c:v>1311.67</c:v>
                </c:pt>
                <c:pt idx="209" formatCode="#,##0.00">
                  <c:v>1352.65</c:v>
                </c:pt>
                <c:pt idx="210" formatCode="#,##0.00">
                  <c:v>1340.03</c:v>
                </c:pt>
                <c:pt idx="211" formatCode="#,##0.00">
                  <c:v>1360.89</c:v>
                </c:pt>
                <c:pt idx="212" formatCode="#,##0.00">
                  <c:v>1385.01</c:v>
                </c:pt>
                <c:pt idx="213" formatCode="#,##0.00">
                  <c:v>1401.01</c:v>
                </c:pt>
                <c:pt idx="214" formatCode="#,##0.00">
                  <c:v>1405.32</c:v>
                </c:pt>
                <c:pt idx="215" formatCode="#,##0.00">
                  <c:v>1413.26</c:v>
                </c:pt>
                <c:pt idx="216" formatCode="#,##0.00">
                  <c:v>1422.75</c:v>
                </c:pt>
                <c:pt idx="217" formatCode="#,##0.00">
                  <c:v>1427.02</c:v>
                </c:pt>
                <c:pt idx="218" formatCode="#,##0.00">
                  <c:v>1422.03</c:v>
                </c:pt>
                <c:pt idx="219" formatCode="#,##0.00">
                  <c:v>1425.16</c:v>
                </c:pt>
                <c:pt idx="220" formatCode="#,##0.00">
                  <c:v>1422.35</c:v>
                </c:pt>
                <c:pt idx="221" formatCode="#,##0.00">
                  <c:v>1383.45</c:v>
                </c:pt>
                <c:pt idx="222" formatCode="#,##0.00">
                  <c:v>1400.61</c:v>
                </c:pt>
                <c:pt idx="223" formatCode="#,##0.00">
                  <c:v>1392.62</c:v>
                </c:pt>
                <c:pt idx="224" formatCode="#,##0.00">
                  <c:v>1454.98</c:v>
                </c:pt>
                <c:pt idx="225" formatCode="#,##0.00">
                  <c:v>1452.24</c:v>
                </c:pt>
                <c:pt idx="226" formatCode="#,##0.00">
                  <c:v>1484.06</c:v>
                </c:pt>
                <c:pt idx="227" formatCode="#,##0.00">
                  <c:v>1490.46</c:v>
                </c:pt>
                <c:pt idx="228" formatCode="#,##0.00">
                  <c:v>1477.69</c:v>
                </c:pt>
                <c:pt idx="229" formatCode="#,##0.00">
                  <c:v>1431.84</c:v>
                </c:pt>
                <c:pt idx="230" formatCode="#,##0.00">
                  <c:v>1458.37</c:v>
                </c:pt>
                <c:pt idx="231" formatCode="#,##0.00">
                  <c:v>1406.91</c:v>
                </c:pt>
                <c:pt idx="232" formatCode="#,##0.00">
                  <c:v>1424.04</c:v>
                </c:pt>
                <c:pt idx="233" formatCode="#,##0.00">
                  <c:v>1404.26</c:v>
                </c:pt>
                <c:pt idx="234" formatCode="#,##0.00">
                  <c:v>1440.52</c:v>
                </c:pt>
                <c:pt idx="235" formatCode="#,##0.00">
                  <c:v>1452.28</c:v>
                </c:pt>
                <c:pt idx="236" formatCode="#,##0.00">
                  <c:v>1464.39</c:v>
                </c:pt>
                <c:pt idx="237" formatCode="#,##0.00">
                  <c:v>1469.25</c:v>
                </c:pt>
                <c:pt idx="238" formatCode="#,##0.00">
                  <c:v>1430.9</c:v>
                </c:pt>
                <c:pt idx="239" formatCode="#,##0.00">
                  <c:v>1383.31</c:v>
                </c:pt>
                <c:pt idx="240" formatCode="#,##0.00">
                  <c:v>1431.88</c:v>
                </c:pt>
                <c:pt idx="241" formatCode="#,##0.00">
                  <c:v>1432.6</c:v>
                </c:pt>
                <c:pt idx="242" formatCode="#,##0.00">
                  <c:v>1431.19</c:v>
                </c:pt>
                <c:pt idx="243" formatCode="#,##0.00">
                  <c:v>1443.13</c:v>
                </c:pt>
                <c:pt idx="244" formatCode="#,##0.00">
                  <c:v>1419.24</c:v>
                </c:pt>
                <c:pt idx="245" formatCode="#,##0.00">
                  <c:v>1425.19</c:v>
                </c:pt>
                <c:pt idx="246" formatCode="#,##0.00">
                  <c:v>1468.7</c:v>
                </c:pt>
                <c:pt idx="247" formatCode="#,##0.00">
                  <c:v>1437.88</c:v>
                </c:pt>
                <c:pt idx="248" formatCode="#,##0.00">
                  <c:v>1416.78</c:v>
                </c:pt>
                <c:pt idx="249" formatCode="#,##0.00">
                  <c:v>1443.57</c:v>
                </c:pt>
                <c:pt idx="250" formatCode="#,##0.00">
                  <c:v>1390.25</c:v>
                </c:pt>
                <c:pt idx="251" formatCode="#,##0.00">
                  <c:v>1390.49</c:v>
                </c:pt>
                <c:pt idx="252" formatCode="#,##0.00">
                  <c:v>1413.13</c:v>
                </c:pt>
                <c:pt idx="253" formatCode="#,##0.00">
                  <c:v>1403.87</c:v>
                </c:pt>
                <c:pt idx="254" formatCode="#,##0.00">
                  <c:v>1401.58</c:v>
                </c:pt>
                <c:pt idx="255" formatCode="#,##0.00">
                  <c:v>1393.49</c:v>
                </c:pt>
                <c:pt idx="256" formatCode="#,##0.00">
                  <c:v>1456.52</c:v>
                </c:pt>
                <c:pt idx="257" formatCode="#,##0.00">
                  <c:v>1469.32</c:v>
                </c:pt>
                <c:pt idx="258" formatCode="#,##0.00">
                  <c:v>1452.5</c:v>
                </c:pt>
                <c:pt idx="259" formatCode="#,##0.00">
                  <c:v>1457.38</c:v>
                </c:pt>
                <c:pt idx="260" formatCode="#,##0.00">
                  <c:v>1486.83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04-4F91-B764-4564008CE0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7116528"/>
        <c:axId val="617121328"/>
      </c:lineChart>
      <c:lineChart>
        <c:grouping val="standard"/>
        <c:varyColors val="0"/>
        <c:ser>
          <c:idx val="0"/>
          <c:order val="0"/>
          <c:tx>
            <c:v>Price KRI-KRI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'Kri-Kri Milk Stock Price Histor'!$A$2:$A$262</c:f>
              <c:numCache>
                <c:formatCode>dd\-mm\-yyyy</c:formatCode>
                <c:ptCount val="261"/>
                <c:pt idx="0">
                  <c:v>43835</c:v>
                </c:pt>
                <c:pt idx="1">
                  <c:v>43842</c:v>
                </c:pt>
                <c:pt idx="2">
                  <c:v>43849</c:v>
                </c:pt>
                <c:pt idx="3">
                  <c:v>43856</c:v>
                </c:pt>
                <c:pt idx="4">
                  <c:v>43863</c:v>
                </c:pt>
                <c:pt idx="5">
                  <c:v>43870</c:v>
                </c:pt>
                <c:pt idx="6">
                  <c:v>43877</c:v>
                </c:pt>
                <c:pt idx="7">
                  <c:v>43884</c:v>
                </c:pt>
                <c:pt idx="8">
                  <c:v>43891</c:v>
                </c:pt>
                <c:pt idx="9">
                  <c:v>43898</c:v>
                </c:pt>
                <c:pt idx="10">
                  <c:v>43905</c:v>
                </c:pt>
                <c:pt idx="11">
                  <c:v>43912</c:v>
                </c:pt>
                <c:pt idx="12">
                  <c:v>43919</c:v>
                </c:pt>
                <c:pt idx="13">
                  <c:v>43926</c:v>
                </c:pt>
                <c:pt idx="14">
                  <c:v>43933</c:v>
                </c:pt>
                <c:pt idx="15">
                  <c:v>43940</c:v>
                </c:pt>
                <c:pt idx="16">
                  <c:v>43947</c:v>
                </c:pt>
                <c:pt idx="17">
                  <c:v>43954</c:v>
                </c:pt>
                <c:pt idx="18">
                  <c:v>43961</c:v>
                </c:pt>
                <c:pt idx="19">
                  <c:v>43968</c:v>
                </c:pt>
                <c:pt idx="20">
                  <c:v>43975</c:v>
                </c:pt>
                <c:pt idx="21">
                  <c:v>43982</c:v>
                </c:pt>
                <c:pt idx="22">
                  <c:v>43989</c:v>
                </c:pt>
                <c:pt idx="23">
                  <c:v>43996</c:v>
                </c:pt>
                <c:pt idx="24">
                  <c:v>44003</c:v>
                </c:pt>
                <c:pt idx="25">
                  <c:v>44010</c:v>
                </c:pt>
                <c:pt idx="26">
                  <c:v>44017</c:v>
                </c:pt>
                <c:pt idx="27">
                  <c:v>44024</c:v>
                </c:pt>
                <c:pt idx="28">
                  <c:v>44031</c:v>
                </c:pt>
                <c:pt idx="29">
                  <c:v>44038</c:v>
                </c:pt>
                <c:pt idx="30">
                  <c:v>44045</c:v>
                </c:pt>
                <c:pt idx="31">
                  <c:v>44052</c:v>
                </c:pt>
                <c:pt idx="32">
                  <c:v>44059</c:v>
                </c:pt>
                <c:pt idx="33">
                  <c:v>44066</c:v>
                </c:pt>
                <c:pt idx="34">
                  <c:v>44073</c:v>
                </c:pt>
                <c:pt idx="35">
                  <c:v>44080</c:v>
                </c:pt>
                <c:pt idx="36">
                  <c:v>44087</c:v>
                </c:pt>
                <c:pt idx="37">
                  <c:v>44094</c:v>
                </c:pt>
                <c:pt idx="38">
                  <c:v>44101</c:v>
                </c:pt>
                <c:pt idx="39">
                  <c:v>44108</c:v>
                </c:pt>
                <c:pt idx="40">
                  <c:v>44115</c:v>
                </c:pt>
                <c:pt idx="41">
                  <c:v>44122</c:v>
                </c:pt>
                <c:pt idx="42">
                  <c:v>44129</c:v>
                </c:pt>
                <c:pt idx="43">
                  <c:v>44136</c:v>
                </c:pt>
                <c:pt idx="44">
                  <c:v>44143</c:v>
                </c:pt>
                <c:pt idx="45">
                  <c:v>44150</c:v>
                </c:pt>
                <c:pt idx="46">
                  <c:v>44157</c:v>
                </c:pt>
                <c:pt idx="47">
                  <c:v>44164</c:v>
                </c:pt>
                <c:pt idx="48">
                  <c:v>44171</c:v>
                </c:pt>
                <c:pt idx="49">
                  <c:v>44178</c:v>
                </c:pt>
                <c:pt idx="50">
                  <c:v>44185</c:v>
                </c:pt>
                <c:pt idx="51">
                  <c:v>44192</c:v>
                </c:pt>
                <c:pt idx="52">
                  <c:v>44199</c:v>
                </c:pt>
                <c:pt idx="53">
                  <c:v>44206</c:v>
                </c:pt>
                <c:pt idx="54">
                  <c:v>44213</c:v>
                </c:pt>
                <c:pt idx="55">
                  <c:v>44220</c:v>
                </c:pt>
                <c:pt idx="56">
                  <c:v>44227</c:v>
                </c:pt>
                <c:pt idx="57">
                  <c:v>44234</c:v>
                </c:pt>
                <c:pt idx="58">
                  <c:v>44241</c:v>
                </c:pt>
                <c:pt idx="59">
                  <c:v>44248</c:v>
                </c:pt>
                <c:pt idx="60">
                  <c:v>44255</c:v>
                </c:pt>
                <c:pt idx="61">
                  <c:v>44262</c:v>
                </c:pt>
                <c:pt idx="62">
                  <c:v>44269</c:v>
                </c:pt>
                <c:pt idx="63">
                  <c:v>44276</c:v>
                </c:pt>
                <c:pt idx="64">
                  <c:v>44283</c:v>
                </c:pt>
                <c:pt idx="65">
                  <c:v>44290</c:v>
                </c:pt>
                <c:pt idx="66">
                  <c:v>44297</c:v>
                </c:pt>
                <c:pt idx="67">
                  <c:v>44304</c:v>
                </c:pt>
                <c:pt idx="68">
                  <c:v>44311</c:v>
                </c:pt>
                <c:pt idx="69">
                  <c:v>44318</c:v>
                </c:pt>
                <c:pt idx="70">
                  <c:v>44325</c:v>
                </c:pt>
                <c:pt idx="71">
                  <c:v>44332</c:v>
                </c:pt>
                <c:pt idx="72">
                  <c:v>44339</c:v>
                </c:pt>
                <c:pt idx="73">
                  <c:v>44346</c:v>
                </c:pt>
                <c:pt idx="74">
                  <c:v>44353</c:v>
                </c:pt>
                <c:pt idx="75">
                  <c:v>44360</c:v>
                </c:pt>
                <c:pt idx="76">
                  <c:v>44367</c:v>
                </c:pt>
                <c:pt idx="77">
                  <c:v>44374</c:v>
                </c:pt>
                <c:pt idx="78">
                  <c:v>44381</c:v>
                </c:pt>
                <c:pt idx="79">
                  <c:v>44388</c:v>
                </c:pt>
                <c:pt idx="80">
                  <c:v>44395</c:v>
                </c:pt>
                <c:pt idx="81">
                  <c:v>44402</c:v>
                </c:pt>
                <c:pt idx="82">
                  <c:v>44409</c:v>
                </c:pt>
                <c:pt idx="83">
                  <c:v>44416</c:v>
                </c:pt>
                <c:pt idx="84">
                  <c:v>44423</c:v>
                </c:pt>
                <c:pt idx="85">
                  <c:v>44430</c:v>
                </c:pt>
                <c:pt idx="86">
                  <c:v>44437</c:v>
                </c:pt>
                <c:pt idx="87">
                  <c:v>44444</c:v>
                </c:pt>
                <c:pt idx="88">
                  <c:v>44451</c:v>
                </c:pt>
                <c:pt idx="89">
                  <c:v>44458</c:v>
                </c:pt>
                <c:pt idx="90">
                  <c:v>44465</c:v>
                </c:pt>
                <c:pt idx="91">
                  <c:v>44472</c:v>
                </c:pt>
                <c:pt idx="92">
                  <c:v>44479</c:v>
                </c:pt>
                <c:pt idx="93">
                  <c:v>44486</c:v>
                </c:pt>
                <c:pt idx="94">
                  <c:v>44493</c:v>
                </c:pt>
                <c:pt idx="95">
                  <c:v>44500</c:v>
                </c:pt>
                <c:pt idx="96">
                  <c:v>44507</c:v>
                </c:pt>
                <c:pt idx="97">
                  <c:v>44514</c:v>
                </c:pt>
                <c:pt idx="98">
                  <c:v>44521</c:v>
                </c:pt>
                <c:pt idx="99">
                  <c:v>44528</c:v>
                </c:pt>
                <c:pt idx="100">
                  <c:v>44535</c:v>
                </c:pt>
                <c:pt idx="101">
                  <c:v>44542</c:v>
                </c:pt>
                <c:pt idx="102">
                  <c:v>44549</c:v>
                </c:pt>
                <c:pt idx="103">
                  <c:v>44556</c:v>
                </c:pt>
                <c:pt idx="104">
                  <c:v>44563</c:v>
                </c:pt>
                <c:pt idx="105">
                  <c:v>44570</c:v>
                </c:pt>
                <c:pt idx="106">
                  <c:v>44577</c:v>
                </c:pt>
                <c:pt idx="107">
                  <c:v>44584</c:v>
                </c:pt>
                <c:pt idx="108">
                  <c:v>44591</c:v>
                </c:pt>
                <c:pt idx="109">
                  <c:v>44598</c:v>
                </c:pt>
                <c:pt idx="110">
                  <c:v>44605</c:v>
                </c:pt>
                <c:pt idx="111">
                  <c:v>44612</c:v>
                </c:pt>
                <c:pt idx="112">
                  <c:v>44619</c:v>
                </c:pt>
                <c:pt idx="113">
                  <c:v>44626</c:v>
                </c:pt>
                <c:pt idx="114">
                  <c:v>44633</c:v>
                </c:pt>
                <c:pt idx="115">
                  <c:v>44640</c:v>
                </c:pt>
                <c:pt idx="116">
                  <c:v>44647</c:v>
                </c:pt>
                <c:pt idx="117">
                  <c:v>44654</c:v>
                </c:pt>
                <c:pt idx="118">
                  <c:v>44661</c:v>
                </c:pt>
                <c:pt idx="119">
                  <c:v>44668</c:v>
                </c:pt>
                <c:pt idx="120">
                  <c:v>44675</c:v>
                </c:pt>
                <c:pt idx="121">
                  <c:v>44682</c:v>
                </c:pt>
                <c:pt idx="122">
                  <c:v>44689</c:v>
                </c:pt>
                <c:pt idx="123">
                  <c:v>44696</c:v>
                </c:pt>
                <c:pt idx="124">
                  <c:v>44703</c:v>
                </c:pt>
                <c:pt idx="125">
                  <c:v>44710</c:v>
                </c:pt>
                <c:pt idx="126">
                  <c:v>44717</c:v>
                </c:pt>
                <c:pt idx="127">
                  <c:v>44724</c:v>
                </c:pt>
                <c:pt idx="128">
                  <c:v>44731</c:v>
                </c:pt>
                <c:pt idx="129">
                  <c:v>44738</c:v>
                </c:pt>
                <c:pt idx="130">
                  <c:v>44745</c:v>
                </c:pt>
                <c:pt idx="131">
                  <c:v>44752</c:v>
                </c:pt>
                <c:pt idx="132">
                  <c:v>44759</c:v>
                </c:pt>
                <c:pt idx="133">
                  <c:v>44766</c:v>
                </c:pt>
                <c:pt idx="134">
                  <c:v>44773</c:v>
                </c:pt>
                <c:pt idx="135">
                  <c:v>44780</c:v>
                </c:pt>
                <c:pt idx="136">
                  <c:v>44787</c:v>
                </c:pt>
                <c:pt idx="137">
                  <c:v>44794</c:v>
                </c:pt>
                <c:pt idx="138">
                  <c:v>44801</c:v>
                </c:pt>
                <c:pt idx="139">
                  <c:v>44808</c:v>
                </c:pt>
                <c:pt idx="140">
                  <c:v>44815</c:v>
                </c:pt>
                <c:pt idx="141">
                  <c:v>44822</c:v>
                </c:pt>
                <c:pt idx="142">
                  <c:v>44829</c:v>
                </c:pt>
                <c:pt idx="143">
                  <c:v>44836</c:v>
                </c:pt>
                <c:pt idx="144">
                  <c:v>44843</c:v>
                </c:pt>
                <c:pt idx="145">
                  <c:v>44850</c:v>
                </c:pt>
                <c:pt idx="146">
                  <c:v>44857</c:v>
                </c:pt>
                <c:pt idx="147">
                  <c:v>44864</c:v>
                </c:pt>
                <c:pt idx="148">
                  <c:v>44871</c:v>
                </c:pt>
                <c:pt idx="149">
                  <c:v>44878</c:v>
                </c:pt>
                <c:pt idx="150">
                  <c:v>44885</c:v>
                </c:pt>
                <c:pt idx="151">
                  <c:v>44892</c:v>
                </c:pt>
                <c:pt idx="152">
                  <c:v>44899</c:v>
                </c:pt>
                <c:pt idx="153">
                  <c:v>44906</c:v>
                </c:pt>
                <c:pt idx="154">
                  <c:v>44913</c:v>
                </c:pt>
                <c:pt idx="155">
                  <c:v>44920</c:v>
                </c:pt>
                <c:pt idx="156">
                  <c:v>44927</c:v>
                </c:pt>
                <c:pt idx="157">
                  <c:v>44934</c:v>
                </c:pt>
                <c:pt idx="158">
                  <c:v>44941</c:v>
                </c:pt>
                <c:pt idx="159">
                  <c:v>44948</c:v>
                </c:pt>
                <c:pt idx="160">
                  <c:v>44955</c:v>
                </c:pt>
                <c:pt idx="161">
                  <c:v>44962</c:v>
                </c:pt>
                <c:pt idx="162">
                  <c:v>44969</c:v>
                </c:pt>
                <c:pt idx="163">
                  <c:v>44976</c:v>
                </c:pt>
                <c:pt idx="164">
                  <c:v>44983</c:v>
                </c:pt>
                <c:pt idx="165">
                  <c:v>44990</c:v>
                </c:pt>
                <c:pt idx="166">
                  <c:v>44997</c:v>
                </c:pt>
                <c:pt idx="167">
                  <c:v>45004</c:v>
                </c:pt>
                <c:pt idx="168">
                  <c:v>45011</c:v>
                </c:pt>
                <c:pt idx="169">
                  <c:v>45018</c:v>
                </c:pt>
                <c:pt idx="170">
                  <c:v>45025</c:v>
                </c:pt>
                <c:pt idx="171">
                  <c:v>45032</c:v>
                </c:pt>
                <c:pt idx="172">
                  <c:v>45039</c:v>
                </c:pt>
                <c:pt idx="173">
                  <c:v>45046</c:v>
                </c:pt>
                <c:pt idx="174">
                  <c:v>45053</c:v>
                </c:pt>
                <c:pt idx="175">
                  <c:v>45060</c:v>
                </c:pt>
                <c:pt idx="176">
                  <c:v>45067</c:v>
                </c:pt>
                <c:pt idx="177">
                  <c:v>45074</c:v>
                </c:pt>
                <c:pt idx="178">
                  <c:v>45081</c:v>
                </c:pt>
                <c:pt idx="179">
                  <c:v>45088</c:v>
                </c:pt>
                <c:pt idx="180">
                  <c:v>45095</c:v>
                </c:pt>
                <c:pt idx="181">
                  <c:v>45102</c:v>
                </c:pt>
                <c:pt idx="182">
                  <c:v>45109</c:v>
                </c:pt>
                <c:pt idx="183">
                  <c:v>45116</c:v>
                </c:pt>
                <c:pt idx="184">
                  <c:v>45123</c:v>
                </c:pt>
                <c:pt idx="185">
                  <c:v>45130</c:v>
                </c:pt>
                <c:pt idx="186">
                  <c:v>45137</c:v>
                </c:pt>
                <c:pt idx="187">
                  <c:v>45144</c:v>
                </c:pt>
                <c:pt idx="188">
                  <c:v>45151</c:v>
                </c:pt>
                <c:pt idx="189">
                  <c:v>45158</c:v>
                </c:pt>
                <c:pt idx="190">
                  <c:v>45165</c:v>
                </c:pt>
                <c:pt idx="191">
                  <c:v>45172</c:v>
                </c:pt>
                <c:pt idx="192">
                  <c:v>45179</c:v>
                </c:pt>
                <c:pt idx="193">
                  <c:v>45186</c:v>
                </c:pt>
                <c:pt idx="194">
                  <c:v>45193</c:v>
                </c:pt>
                <c:pt idx="195">
                  <c:v>45200</c:v>
                </c:pt>
                <c:pt idx="196">
                  <c:v>45207</c:v>
                </c:pt>
                <c:pt idx="197">
                  <c:v>45214</c:v>
                </c:pt>
                <c:pt idx="198">
                  <c:v>45221</c:v>
                </c:pt>
                <c:pt idx="199">
                  <c:v>45228</c:v>
                </c:pt>
                <c:pt idx="200">
                  <c:v>45235</c:v>
                </c:pt>
                <c:pt idx="201">
                  <c:v>45242</c:v>
                </c:pt>
                <c:pt idx="202">
                  <c:v>45249</c:v>
                </c:pt>
                <c:pt idx="203">
                  <c:v>45256</c:v>
                </c:pt>
                <c:pt idx="204">
                  <c:v>45263</c:v>
                </c:pt>
                <c:pt idx="205">
                  <c:v>45270</c:v>
                </c:pt>
                <c:pt idx="206">
                  <c:v>45277</c:v>
                </c:pt>
                <c:pt idx="207">
                  <c:v>45284</c:v>
                </c:pt>
                <c:pt idx="208">
                  <c:v>45291</c:v>
                </c:pt>
                <c:pt idx="209">
                  <c:v>45298</c:v>
                </c:pt>
                <c:pt idx="210">
                  <c:v>45305</c:v>
                </c:pt>
                <c:pt idx="211">
                  <c:v>45312</c:v>
                </c:pt>
                <c:pt idx="212">
                  <c:v>45319</c:v>
                </c:pt>
                <c:pt idx="213">
                  <c:v>45326</c:v>
                </c:pt>
                <c:pt idx="214">
                  <c:v>45333</c:v>
                </c:pt>
                <c:pt idx="215">
                  <c:v>45340</c:v>
                </c:pt>
                <c:pt idx="216">
                  <c:v>45347</c:v>
                </c:pt>
                <c:pt idx="217">
                  <c:v>45354</c:v>
                </c:pt>
                <c:pt idx="218">
                  <c:v>45361</c:v>
                </c:pt>
                <c:pt idx="219">
                  <c:v>45368</c:v>
                </c:pt>
                <c:pt idx="220">
                  <c:v>45375</c:v>
                </c:pt>
                <c:pt idx="221">
                  <c:v>45382</c:v>
                </c:pt>
                <c:pt idx="222">
                  <c:v>45389</c:v>
                </c:pt>
                <c:pt idx="223">
                  <c:v>45396</c:v>
                </c:pt>
                <c:pt idx="224">
                  <c:v>45403</c:v>
                </c:pt>
                <c:pt idx="225">
                  <c:v>45410</c:v>
                </c:pt>
                <c:pt idx="226">
                  <c:v>45417</c:v>
                </c:pt>
                <c:pt idx="227">
                  <c:v>45424</c:v>
                </c:pt>
                <c:pt idx="228">
                  <c:v>45431</c:v>
                </c:pt>
                <c:pt idx="229">
                  <c:v>45438</c:v>
                </c:pt>
                <c:pt idx="230">
                  <c:v>45445</c:v>
                </c:pt>
                <c:pt idx="231">
                  <c:v>45452</c:v>
                </c:pt>
                <c:pt idx="232">
                  <c:v>45459</c:v>
                </c:pt>
                <c:pt idx="233">
                  <c:v>45466</c:v>
                </c:pt>
                <c:pt idx="234">
                  <c:v>45473</c:v>
                </c:pt>
                <c:pt idx="235">
                  <c:v>45480</c:v>
                </c:pt>
                <c:pt idx="236">
                  <c:v>45487</c:v>
                </c:pt>
                <c:pt idx="237">
                  <c:v>45494</c:v>
                </c:pt>
                <c:pt idx="238">
                  <c:v>45501</c:v>
                </c:pt>
                <c:pt idx="239">
                  <c:v>45508</c:v>
                </c:pt>
                <c:pt idx="240">
                  <c:v>45515</c:v>
                </c:pt>
                <c:pt idx="241">
                  <c:v>45522</c:v>
                </c:pt>
                <c:pt idx="242">
                  <c:v>45529</c:v>
                </c:pt>
                <c:pt idx="243">
                  <c:v>45536</c:v>
                </c:pt>
                <c:pt idx="244">
                  <c:v>45543</c:v>
                </c:pt>
                <c:pt idx="245">
                  <c:v>45550</c:v>
                </c:pt>
                <c:pt idx="246">
                  <c:v>45557</c:v>
                </c:pt>
                <c:pt idx="247">
                  <c:v>45564</c:v>
                </c:pt>
                <c:pt idx="248">
                  <c:v>45571</c:v>
                </c:pt>
                <c:pt idx="249">
                  <c:v>45578</c:v>
                </c:pt>
                <c:pt idx="250">
                  <c:v>45585</c:v>
                </c:pt>
                <c:pt idx="251">
                  <c:v>45592</c:v>
                </c:pt>
                <c:pt idx="252">
                  <c:v>45599</c:v>
                </c:pt>
                <c:pt idx="253">
                  <c:v>45606</c:v>
                </c:pt>
                <c:pt idx="254">
                  <c:v>45613</c:v>
                </c:pt>
                <c:pt idx="255">
                  <c:v>45620</c:v>
                </c:pt>
                <c:pt idx="256">
                  <c:v>45627</c:v>
                </c:pt>
                <c:pt idx="257">
                  <c:v>45634</c:v>
                </c:pt>
                <c:pt idx="258">
                  <c:v>45641</c:v>
                </c:pt>
                <c:pt idx="259">
                  <c:v>45648</c:v>
                </c:pt>
                <c:pt idx="260">
                  <c:v>45655</c:v>
                </c:pt>
              </c:numCache>
            </c:numRef>
          </c:cat>
          <c:val>
            <c:numRef>
              <c:f>'Kri-Kri Milk Stock Price Histor'!$B$2:$B$262</c:f>
              <c:numCache>
                <c:formatCode>General</c:formatCode>
                <c:ptCount val="261"/>
                <c:pt idx="0">
                  <c:v>5.38</c:v>
                </c:pt>
                <c:pt idx="1">
                  <c:v>5.5</c:v>
                </c:pt>
                <c:pt idx="2">
                  <c:v>5.66</c:v>
                </c:pt>
                <c:pt idx="3">
                  <c:v>5.42</c:v>
                </c:pt>
                <c:pt idx="4">
                  <c:v>5.46</c:v>
                </c:pt>
                <c:pt idx="5">
                  <c:v>5.58</c:v>
                </c:pt>
                <c:pt idx="6">
                  <c:v>5.42</c:v>
                </c:pt>
                <c:pt idx="7">
                  <c:v>4.6399999999999997</c:v>
                </c:pt>
                <c:pt idx="8">
                  <c:v>4.4800000000000004</c:v>
                </c:pt>
                <c:pt idx="9">
                  <c:v>3.85</c:v>
                </c:pt>
                <c:pt idx="10">
                  <c:v>4.55</c:v>
                </c:pt>
                <c:pt idx="11">
                  <c:v>4.3499999999999996</c:v>
                </c:pt>
                <c:pt idx="12">
                  <c:v>4.3</c:v>
                </c:pt>
                <c:pt idx="13">
                  <c:v>4.5999999999999996</c:v>
                </c:pt>
                <c:pt idx="14">
                  <c:v>4.6500000000000004</c:v>
                </c:pt>
                <c:pt idx="15">
                  <c:v>4.7699999999999996</c:v>
                </c:pt>
                <c:pt idx="16">
                  <c:v>4.8600000000000003</c:v>
                </c:pt>
                <c:pt idx="17">
                  <c:v>4.9800000000000004</c:v>
                </c:pt>
                <c:pt idx="18">
                  <c:v>4.9000000000000004</c:v>
                </c:pt>
                <c:pt idx="19">
                  <c:v>5.0599999999999996</c:v>
                </c:pt>
                <c:pt idx="20">
                  <c:v>5.34</c:v>
                </c:pt>
                <c:pt idx="21">
                  <c:v>6</c:v>
                </c:pt>
                <c:pt idx="22">
                  <c:v>5.48</c:v>
                </c:pt>
                <c:pt idx="23">
                  <c:v>5.4</c:v>
                </c:pt>
                <c:pt idx="24">
                  <c:v>5.72</c:v>
                </c:pt>
                <c:pt idx="25">
                  <c:v>5.82</c:v>
                </c:pt>
                <c:pt idx="26">
                  <c:v>5.9</c:v>
                </c:pt>
                <c:pt idx="27">
                  <c:v>5.94</c:v>
                </c:pt>
                <c:pt idx="28">
                  <c:v>5.82</c:v>
                </c:pt>
                <c:pt idx="29">
                  <c:v>5.74</c:v>
                </c:pt>
                <c:pt idx="30">
                  <c:v>6.24</c:v>
                </c:pt>
                <c:pt idx="31">
                  <c:v>5.9</c:v>
                </c:pt>
                <c:pt idx="32">
                  <c:v>5.9</c:v>
                </c:pt>
                <c:pt idx="33">
                  <c:v>5.94</c:v>
                </c:pt>
                <c:pt idx="34">
                  <c:v>5.98</c:v>
                </c:pt>
                <c:pt idx="35">
                  <c:v>5.8</c:v>
                </c:pt>
                <c:pt idx="36">
                  <c:v>6.06</c:v>
                </c:pt>
                <c:pt idx="37">
                  <c:v>6.02</c:v>
                </c:pt>
                <c:pt idx="38">
                  <c:v>6.16</c:v>
                </c:pt>
                <c:pt idx="39">
                  <c:v>6.56</c:v>
                </c:pt>
                <c:pt idx="40">
                  <c:v>6.3</c:v>
                </c:pt>
                <c:pt idx="41">
                  <c:v>6.34</c:v>
                </c:pt>
                <c:pt idx="42">
                  <c:v>6.18</c:v>
                </c:pt>
                <c:pt idx="43">
                  <c:v>6.26</c:v>
                </c:pt>
                <c:pt idx="44">
                  <c:v>6.3</c:v>
                </c:pt>
                <c:pt idx="45">
                  <c:v>6.42</c:v>
                </c:pt>
                <c:pt idx="46">
                  <c:v>6.42</c:v>
                </c:pt>
                <c:pt idx="47">
                  <c:v>6.4</c:v>
                </c:pt>
                <c:pt idx="48">
                  <c:v>6.4</c:v>
                </c:pt>
                <c:pt idx="49">
                  <c:v>6.66</c:v>
                </c:pt>
                <c:pt idx="50">
                  <c:v>6.44</c:v>
                </c:pt>
                <c:pt idx="51">
                  <c:v>6.54</c:v>
                </c:pt>
                <c:pt idx="52">
                  <c:v>6.6</c:v>
                </c:pt>
                <c:pt idx="53">
                  <c:v>6.6</c:v>
                </c:pt>
                <c:pt idx="54">
                  <c:v>6.62</c:v>
                </c:pt>
                <c:pt idx="55">
                  <c:v>6.66</c:v>
                </c:pt>
                <c:pt idx="56">
                  <c:v>6.94</c:v>
                </c:pt>
                <c:pt idx="57">
                  <c:v>7.1</c:v>
                </c:pt>
                <c:pt idx="58">
                  <c:v>7</c:v>
                </c:pt>
                <c:pt idx="59">
                  <c:v>7.28</c:v>
                </c:pt>
                <c:pt idx="60">
                  <c:v>7.26</c:v>
                </c:pt>
                <c:pt idx="61">
                  <c:v>7.26</c:v>
                </c:pt>
                <c:pt idx="62">
                  <c:v>7.4</c:v>
                </c:pt>
                <c:pt idx="63">
                  <c:v>7.46</c:v>
                </c:pt>
                <c:pt idx="64">
                  <c:v>7.7</c:v>
                </c:pt>
                <c:pt idx="65">
                  <c:v>7.76</c:v>
                </c:pt>
                <c:pt idx="66">
                  <c:v>7.6</c:v>
                </c:pt>
                <c:pt idx="67">
                  <c:v>7.5</c:v>
                </c:pt>
                <c:pt idx="68">
                  <c:v>7.72</c:v>
                </c:pt>
                <c:pt idx="69">
                  <c:v>7.6</c:v>
                </c:pt>
                <c:pt idx="70">
                  <c:v>7.46</c:v>
                </c:pt>
                <c:pt idx="71">
                  <c:v>7.44</c:v>
                </c:pt>
                <c:pt idx="72">
                  <c:v>7.64</c:v>
                </c:pt>
                <c:pt idx="73">
                  <c:v>7.74</c:v>
                </c:pt>
                <c:pt idx="74">
                  <c:v>7.9</c:v>
                </c:pt>
                <c:pt idx="75">
                  <c:v>8.0399999999999991</c:v>
                </c:pt>
                <c:pt idx="76">
                  <c:v>8.5</c:v>
                </c:pt>
                <c:pt idx="77">
                  <c:v>8.8000000000000007</c:v>
                </c:pt>
                <c:pt idx="78">
                  <c:v>8.64</c:v>
                </c:pt>
                <c:pt idx="79">
                  <c:v>8.6</c:v>
                </c:pt>
                <c:pt idx="80">
                  <c:v>8.66</c:v>
                </c:pt>
                <c:pt idx="81">
                  <c:v>8.8000000000000007</c:v>
                </c:pt>
                <c:pt idx="82">
                  <c:v>8.74</c:v>
                </c:pt>
                <c:pt idx="83">
                  <c:v>8.44</c:v>
                </c:pt>
                <c:pt idx="84">
                  <c:v>8.5</c:v>
                </c:pt>
                <c:pt idx="85">
                  <c:v>8.5</c:v>
                </c:pt>
                <c:pt idx="86">
                  <c:v>8.52</c:v>
                </c:pt>
                <c:pt idx="87">
                  <c:v>8.1999999999999993</c:v>
                </c:pt>
                <c:pt idx="88">
                  <c:v>8.3800000000000008</c:v>
                </c:pt>
                <c:pt idx="89">
                  <c:v>7.64</c:v>
                </c:pt>
                <c:pt idx="90">
                  <c:v>7.56</c:v>
                </c:pt>
                <c:pt idx="91">
                  <c:v>7.7</c:v>
                </c:pt>
                <c:pt idx="92">
                  <c:v>7.96</c:v>
                </c:pt>
                <c:pt idx="93">
                  <c:v>8.3000000000000007</c:v>
                </c:pt>
                <c:pt idx="94">
                  <c:v>7.98</c:v>
                </c:pt>
                <c:pt idx="95">
                  <c:v>7.96</c:v>
                </c:pt>
                <c:pt idx="96">
                  <c:v>8.2799999999999994</c:v>
                </c:pt>
                <c:pt idx="97">
                  <c:v>8.26</c:v>
                </c:pt>
                <c:pt idx="98">
                  <c:v>8.06</c:v>
                </c:pt>
                <c:pt idx="99">
                  <c:v>8.3000000000000007</c:v>
                </c:pt>
                <c:pt idx="100">
                  <c:v>8.1</c:v>
                </c:pt>
                <c:pt idx="101">
                  <c:v>8.06</c:v>
                </c:pt>
                <c:pt idx="102">
                  <c:v>8.5</c:v>
                </c:pt>
                <c:pt idx="103">
                  <c:v>8.5</c:v>
                </c:pt>
                <c:pt idx="104">
                  <c:v>8.42</c:v>
                </c:pt>
                <c:pt idx="105">
                  <c:v>8.4600000000000009</c:v>
                </c:pt>
                <c:pt idx="106">
                  <c:v>8.2200000000000006</c:v>
                </c:pt>
                <c:pt idx="107">
                  <c:v>8.3000000000000007</c:v>
                </c:pt>
                <c:pt idx="108">
                  <c:v>8.3800000000000008</c:v>
                </c:pt>
                <c:pt idx="109">
                  <c:v>8.1999999999999993</c:v>
                </c:pt>
                <c:pt idx="110">
                  <c:v>7.98</c:v>
                </c:pt>
                <c:pt idx="111">
                  <c:v>7.6</c:v>
                </c:pt>
                <c:pt idx="112">
                  <c:v>7.5</c:v>
                </c:pt>
                <c:pt idx="113">
                  <c:v>7.38</c:v>
                </c:pt>
                <c:pt idx="114">
                  <c:v>7.48</c:v>
                </c:pt>
                <c:pt idx="115">
                  <c:v>7.16</c:v>
                </c:pt>
                <c:pt idx="116">
                  <c:v>7.5</c:v>
                </c:pt>
                <c:pt idx="117">
                  <c:v>7.22</c:v>
                </c:pt>
                <c:pt idx="118">
                  <c:v>7.54</c:v>
                </c:pt>
                <c:pt idx="119">
                  <c:v>7.28</c:v>
                </c:pt>
                <c:pt idx="120">
                  <c:v>7</c:v>
                </c:pt>
                <c:pt idx="121">
                  <c:v>6.5</c:v>
                </c:pt>
                <c:pt idx="122">
                  <c:v>6.46</c:v>
                </c:pt>
                <c:pt idx="123">
                  <c:v>6.4</c:v>
                </c:pt>
                <c:pt idx="124">
                  <c:v>6.44</c:v>
                </c:pt>
                <c:pt idx="125">
                  <c:v>6</c:v>
                </c:pt>
                <c:pt idx="126">
                  <c:v>5.96</c:v>
                </c:pt>
                <c:pt idx="127">
                  <c:v>5.72</c:v>
                </c:pt>
                <c:pt idx="128">
                  <c:v>5.66</c:v>
                </c:pt>
                <c:pt idx="129">
                  <c:v>5.5</c:v>
                </c:pt>
                <c:pt idx="130">
                  <c:v>5.6</c:v>
                </c:pt>
                <c:pt idx="131">
                  <c:v>5.84</c:v>
                </c:pt>
                <c:pt idx="132">
                  <c:v>5.9</c:v>
                </c:pt>
                <c:pt idx="133">
                  <c:v>5.7</c:v>
                </c:pt>
                <c:pt idx="134">
                  <c:v>5.98</c:v>
                </c:pt>
                <c:pt idx="135">
                  <c:v>5.96</c:v>
                </c:pt>
                <c:pt idx="136">
                  <c:v>6.06</c:v>
                </c:pt>
                <c:pt idx="137">
                  <c:v>5.92</c:v>
                </c:pt>
                <c:pt idx="138">
                  <c:v>5.7</c:v>
                </c:pt>
                <c:pt idx="139">
                  <c:v>5.32</c:v>
                </c:pt>
                <c:pt idx="140">
                  <c:v>5.36</c:v>
                </c:pt>
                <c:pt idx="141">
                  <c:v>5.08</c:v>
                </c:pt>
                <c:pt idx="142">
                  <c:v>5.0599999999999996</c:v>
                </c:pt>
                <c:pt idx="143">
                  <c:v>5.5</c:v>
                </c:pt>
                <c:pt idx="144">
                  <c:v>5.42</c:v>
                </c:pt>
                <c:pt idx="145">
                  <c:v>5.36</c:v>
                </c:pt>
                <c:pt idx="146">
                  <c:v>5.42</c:v>
                </c:pt>
                <c:pt idx="147">
                  <c:v>5.4</c:v>
                </c:pt>
                <c:pt idx="148">
                  <c:v>5.76</c:v>
                </c:pt>
                <c:pt idx="149">
                  <c:v>5.7</c:v>
                </c:pt>
                <c:pt idx="150">
                  <c:v>6.16</c:v>
                </c:pt>
                <c:pt idx="151">
                  <c:v>5.88</c:v>
                </c:pt>
                <c:pt idx="152">
                  <c:v>6</c:v>
                </c:pt>
                <c:pt idx="153">
                  <c:v>6.36</c:v>
                </c:pt>
                <c:pt idx="154">
                  <c:v>6.32</c:v>
                </c:pt>
                <c:pt idx="155">
                  <c:v>6.2</c:v>
                </c:pt>
                <c:pt idx="156">
                  <c:v>6.48</c:v>
                </c:pt>
                <c:pt idx="157">
                  <c:v>6.5</c:v>
                </c:pt>
                <c:pt idx="158">
                  <c:v>6.44</c:v>
                </c:pt>
                <c:pt idx="159">
                  <c:v>6.12</c:v>
                </c:pt>
                <c:pt idx="160">
                  <c:v>6.2</c:v>
                </c:pt>
                <c:pt idx="161">
                  <c:v>6.1</c:v>
                </c:pt>
                <c:pt idx="162">
                  <c:v>6.22</c:v>
                </c:pt>
                <c:pt idx="163">
                  <c:v>6.34</c:v>
                </c:pt>
                <c:pt idx="164">
                  <c:v>6.38</c:v>
                </c:pt>
                <c:pt idx="165">
                  <c:v>6.58</c:v>
                </c:pt>
                <c:pt idx="166">
                  <c:v>6.1</c:v>
                </c:pt>
                <c:pt idx="167">
                  <c:v>6.4</c:v>
                </c:pt>
                <c:pt idx="168">
                  <c:v>6.34</c:v>
                </c:pt>
                <c:pt idx="169">
                  <c:v>6.32</c:v>
                </c:pt>
                <c:pt idx="170">
                  <c:v>6.5</c:v>
                </c:pt>
                <c:pt idx="171">
                  <c:v>6.46</c:v>
                </c:pt>
                <c:pt idx="172">
                  <c:v>6.6</c:v>
                </c:pt>
                <c:pt idx="173">
                  <c:v>6.92</c:v>
                </c:pt>
                <c:pt idx="174">
                  <c:v>7.1</c:v>
                </c:pt>
                <c:pt idx="175">
                  <c:v>7.18</c:v>
                </c:pt>
                <c:pt idx="176">
                  <c:v>8.16</c:v>
                </c:pt>
                <c:pt idx="177">
                  <c:v>8</c:v>
                </c:pt>
                <c:pt idx="178">
                  <c:v>8.06</c:v>
                </c:pt>
                <c:pt idx="179">
                  <c:v>7.96</c:v>
                </c:pt>
                <c:pt idx="180">
                  <c:v>7.94</c:v>
                </c:pt>
                <c:pt idx="181">
                  <c:v>7.96</c:v>
                </c:pt>
                <c:pt idx="182">
                  <c:v>7.98</c:v>
                </c:pt>
                <c:pt idx="183">
                  <c:v>8.2200000000000006</c:v>
                </c:pt>
                <c:pt idx="184">
                  <c:v>8.36</c:v>
                </c:pt>
                <c:pt idx="185">
                  <c:v>8.6</c:v>
                </c:pt>
                <c:pt idx="186">
                  <c:v>8.6</c:v>
                </c:pt>
                <c:pt idx="187">
                  <c:v>8.34</c:v>
                </c:pt>
                <c:pt idx="188">
                  <c:v>8.1999999999999993</c:v>
                </c:pt>
                <c:pt idx="189">
                  <c:v>8.4</c:v>
                </c:pt>
                <c:pt idx="190">
                  <c:v>8.26</c:v>
                </c:pt>
                <c:pt idx="191">
                  <c:v>7.88</c:v>
                </c:pt>
                <c:pt idx="192">
                  <c:v>7.8</c:v>
                </c:pt>
                <c:pt idx="193">
                  <c:v>7.82</c:v>
                </c:pt>
                <c:pt idx="194">
                  <c:v>8.32</c:v>
                </c:pt>
                <c:pt idx="195">
                  <c:v>8.1999999999999993</c:v>
                </c:pt>
                <c:pt idx="196">
                  <c:v>7.92</c:v>
                </c:pt>
                <c:pt idx="197">
                  <c:v>8.1</c:v>
                </c:pt>
                <c:pt idx="198">
                  <c:v>8.08</c:v>
                </c:pt>
                <c:pt idx="199">
                  <c:v>8.1199999999999992</c:v>
                </c:pt>
                <c:pt idx="200">
                  <c:v>8.56</c:v>
                </c:pt>
                <c:pt idx="201">
                  <c:v>8.5</c:v>
                </c:pt>
                <c:pt idx="202">
                  <c:v>8.98</c:v>
                </c:pt>
                <c:pt idx="203">
                  <c:v>9.44</c:v>
                </c:pt>
                <c:pt idx="204">
                  <c:v>9.42</c:v>
                </c:pt>
                <c:pt idx="205">
                  <c:v>9.5</c:v>
                </c:pt>
                <c:pt idx="206">
                  <c:v>9.5399999999999991</c:v>
                </c:pt>
                <c:pt idx="207">
                  <c:v>9.58</c:v>
                </c:pt>
                <c:pt idx="208">
                  <c:v>9.8000000000000007</c:v>
                </c:pt>
                <c:pt idx="209">
                  <c:v>9.8800000000000008</c:v>
                </c:pt>
                <c:pt idx="210">
                  <c:v>9.92</c:v>
                </c:pt>
                <c:pt idx="211">
                  <c:v>9.8800000000000008</c:v>
                </c:pt>
                <c:pt idx="212">
                  <c:v>9.9</c:v>
                </c:pt>
                <c:pt idx="213">
                  <c:v>9.9</c:v>
                </c:pt>
                <c:pt idx="214">
                  <c:v>9.9</c:v>
                </c:pt>
                <c:pt idx="215">
                  <c:v>10.55</c:v>
                </c:pt>
                <c:pt idx="216">
                  <c:v>10.85</c:v>
                </c:pt>
                <c:pt idx="217">
                  <c:v>10.95</c:v>
                </c:pt>
                <c:pt idx="218">
                  <c:v>12</c:v>
                </c:pt>
                <c:pt idx="219">
                  <c:v>11.8</c:v>
                </c:pt>
                <c:pt idx="220">
                  <c:v>11.7</c:v>
                </c:pt>
                <c:pt idx="221">
                  <c:v>10.9</c:v>
                </c:pt>
                <c:pt idx="222">
                  <c:v>11.3</c:v>
                </c:pt>
                <c:pt idx="223">
                  <c:v>11.2</c:v>
                </c:pt>
                <c:pt idx="224">
                  <c:v>10.95</c:v>
                </c:pt>
                <c:pt idx="225">
                  <c:v>10.6</c:v>
                </c:pt>
                <c:pt idx="226">
                  <c:v>10.65</c:v>
                </c:pt>
                <c:pt idx="227">
                  <c:v>11</c:v>
                </c:pt>
                <c:pt idx="228">
                  <c:v>11.3</c:v>
                </c:pt>
                <c:pt idx="229">
                  <c:v>11.15</c:v>
                </c:pt>
                <c:pt idx="230">
                  <c:v>11</c:v>
                </c:pt>
                <c:pt idx="231">
                  <c:v>10.5</c:v>
                </c:pt>
                <c:pt idx="232">
                  <c:v>10.65</c:v>
                </c:pt>
                <c:pt idx="233">
                  <c:v>11.35</c:v>
                </c:pt>
                <c:pt idx="234">
                  <c:v>11.6</c:v>
                </c:pt>
                <c:pt idx="235">
                  <c:v>11.5</c:v>
                </c:pt>
                <c:pt idx="236">
                  <c:v>11.4</c:v>
                </c:pt>
                <c:pt idx="237">
                  <c:v>11.55</c:v>
                </c:pt>
                <c:pt idx="238">
                  <c:v>11.05</c:v>
                </c:pt>
                <c:pt idx="239">
                  <c:v>11.4</c:v>
                </c:pt>
                <c:pt idx="240">
                  <c:v>12</c:v>
                </c:pt>
                <c:pt idx="241">
                  <c:v>12.3</c:v>
                </c:pt>
                <c:pt idx="242">
                  <c:v>12.2</c:v>
                </c:pt>
                <c:pt idx="243">
                  <c:v>12.35</c:v>
                </c:pt>
                <c:pt idx="244">
                  <c:v>12.4</c:v>
                </c:pt>
                <c:pt idx="245">
                  <c:v>13.1</c:v>
                </c:pt>
                <c:pt idx="246">
                  <c:v>13.45</c:v>
                </c:pt>
                <c:pt idx="247">
                  <c:v>13.1</c:v>
                </c:pt>
                <c:pt idx="248">
                  <c:v>13.2</c:v>
                </c:pt>
                <c:pt idx="249">
                  <c:v>13.15</c:v>
                </c:pt>
                <c:pt idx="250">
                  <c:v>13.95</c:v>
                </c:pt>
                <c:pt idx="251">
                  <c:v>13.6</c:v>
                </c:pt>
                <c:pt idx="252">
                  <c:v>14.1</c:v>
                </c:pt>
                <c:pt idx="253">
                  <c:v>14.4</c:v>
                </c:pt>
                <c:pt idx="254">
                  <c:v>14.3</c:v>
                </c:pt>
                <c:pt idx="255">
                  <c:v>14.3</c:v>
                </c:pt>
                <c:pt idx="256">
                  <c:v>15.25</c:v>
                </c:pt>
                <c:pt idx="257">
                  <c:v>15.2</c:v>
                </c:pt>
                <c:pt idx="258">
                  <c:v>15.35</c:v>
                </c:pt>
                <c:pt idx="259">
                  <c:v>15</c:v>
                </c:pt>
                <c:pt idx="260">
                  <c:v>15.55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04-4F91-B764-4564008CE0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05599808"/>
        <c:axId val="1005602208"/>
      </c:lineChart>
      <c:dateAx>
        <c:axId val="617116528"/>
        <c:scaling>
          <c:orientation val="minMax"/>
        </c:scaling>
        <c:delete val="0"/>
        <c:axPos val="b"/>
        <c:numFmt formatCode="dd\-mm\-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121328"/>
        <c:crosses val="autoZero"/>
        <c:auto val="1"/>
        <c:lblOffset val="100"/>
        <c:baseTimeUnit val="days"/>
        <c:majorUnit val="6"/>
        <c:majorTimeUnit val="months"/>
      </c:dateAx>
      <c:valAx>
        <c:axId val="617121328"/>
        <c:scaling>
          <c:orientation val="minMax"/>
          <c:min val="2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ATG 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116528"/>
        <c:crosses val="autoZero"/>
        <c:crossBetween val="between"/>
      </c:valAx>
      <c:dateAx>
        <c:axId val="1005599808"/>
        <c:scaling>
          <c:orientation val="minMax"/>
        </c:scaling>
        <c:delete val="1"/>
        <c:axPos val="b"/>
        <c:numFmt formatCode="dd\-mm\-yyyy" sourceLinked="1"/>
        <c:majorTickMark val="out"/>
        <c:minorTickMark val="none"/>
        <c:tickLblPos val="nextTo"/>
        <c:crossAx val="1005602208"/>
        <c:crosses val="autoZero"/>
        <c:auto val="1"/>
        <c:lblOffset val="100"/>
        <c:baseTimeUnit val="days"/>
        <c:majorUnit val="1"/>
        <c:majorTimeUnit val="days"/>
        <c:minorUnit val="1"/>
        <c:minorTimeUnit val="days"/>
      </c:dateAx>
      <c:valAx>
        <c:axId val="10056022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KRI-KRI 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ln>
                  <a:noFill/>
                </a:ln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99808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7ebf8d3-673b-4098-89a2-7a89583c9633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5-year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Histor'!$E$2:$E$262</c:f>
              <c:numCache>
                <c:formatCode>0.00%</c:formatCode>
                <c:ptCount val="261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  <c:pt idx="53">
                  <c:v>-3.56E-2</c:v>
                </c:pt>
                <c:pt idx="54">
                  <c:v>-1.41E-2</c:v>
                </c:pt>
                <c:pt idx="55">
                  <c:v>-3.7900000000000003E-2</c:v>
                </c:pt>
                <c:pt idx="56">
                  <c:v>2.0199999999999999E-2</c:v>
                </c:pt>
                <c:pt idx="57">
                  <c:v>1.4999999999999999E-2</c:v>
                </c:pt>
                <c:pt idx="58">
                  <c:v>6.8999999999999999E-3</c:v>
                </c:pt>
                <c:pt idx="59">
                  <c:v>1.4E-2</c:v>
                </c:pt>
                <c:pt idx="60">
                  <c:v>4.1200000000000001E-2</c:v>
                </c:pt>
                <c:pt idx="61">
                  <c:v>0.03</c:v>
                </c:pt>
                <c:pt idx="62">
                  <c:v>-1.9699999999999999E-2</c:v>
                </c:pt>
                <c:pt idx="63">
                  <c:v>2.2499999999999999E-2</c:v>
                </c:pt>
                <c:pt idx="64">
                  <c:v>2.75E-2</c:v>
                </c:pt>
                <c:pt idx="65">
                  <c:v>1.8800000000000001E-2</c:v>
                </c:pt>
                <c:pt idx="66">
                  <c:v>7.7999999999999996E-3</c:v>
                </c:pt>
                <c:pt idx="67">
                  <c:v>1.1000000000000001E-3</c:v>
                </c:pt>
                <c:pt idx="68">
                  <c:v>1.2E-2</c:v>
                </c:pt>
                <c:pt idx="69">
                  <c:v>-1.47E-2</c:v>
                </c:pt>
                <c:pt idx="70">
                  <c:v>1.12E-2</c:v>
                </c:pt>
                <c:pt idx="71">
                  <c:v>-4.36E-2</c:v>
                </c:pt>
                <c:pt idx="72">
                  <c:v>2.3099999999999999E-2</c:v>
                </c:pt>
                <c:pt idx="73">
                  <c:v>1.5800000000000002E-2</c:v>
                </c:pt>
                <c:pt idx="74">
                  <c:v>2.69E-2</c:v>
                </c:pt>
                <c:pt idx="75">
                  <c:v>-2.1899999999999999E-2</c:v>
                </c:pt>
                <c:pt idx="76">
                  <c:v>2.3999999999999998E-3</c:v>
                </c:pt>
                <c:pt idx="77">
                  <c:v>-2.3199999999999998E-2</c:v>
                </c:pt>
                <c:pt idx="78">
                  <c:v>-1.4E-2</c:v>
                </c:pt>
                <c:pt idx="79">
                  <c:v>-8.5000000000000006E-3</c:v>
                </c:pt>
                <c:pt idx="80">
                  <c:v>-2.7000000000000001E-3</c:v>
                </c:pt>
                <c:pt idx="81">
                  <c:v>2.76E-2</c:v>
                </c:pt>
                <c:pt idx="82">
                  <c:v>5.8999999999999999E-3</c:v>
                </c:pt>
                <c:pt idx="83">
                  <c:v>2E-3</c:v>
                </c:pt>
                <c:pt idx="84">
                  <c:v>-1.3599999999999999E-2</c:v>
                </c:pt>
                <c:pt idx="85">
                  <c:v>3.5400000000000001E-2</c:v>
                </c:pt>
                <c:pt idx="86">
                  <c:v>6.9999999999999999E-4</c:v>
                </c:pt>
                <c:pt idx="87">
                  <c:v>-1.52E-2</c:v>
                </c:pt>
                <c:pt idx="88">
                  <c:v>1.2999999999999999E-2</c:v>
                </c:pt>
                <c:pt idx="89">
                  <c:v>-4.3499999999999997E-2</c:v>
                </c:pt>
                <c:pt idx="90">
                  <c:v>-2.3E-3</c:v>
                </c:pt>
                <c:pt idx="91">
                  <c:v>2.47E-2</c:v>
                </c:pt>
                <c:pt idx="92">
                  <c:v>2.3999999999999998E-3</c:v>
                </c:pt>
                <c:pt idx="93">
                  <c:v>1.15E-2</c:v>
                </c:pt>
                <c:pt idx="94">
                  <c:v>-7.7000000000000002E-3</c:v>
                </c:pt>
                <c:pt idx="95">
                  <c:v>9.7999999999999997E-3</c:v>
                </c:pt>
                <c:pt idx="96">
                  <c:v>7.7999999999999996E-3</c:v>
                </c:pt>
                <c:pt idx="97">
                  <c:v>1.1999999999999999E-3</c:v>
                </c:pt>
                <c:pt idx="98">
                  <c:v>-6.13E-2</c:v>
                </c:pt>
                <c:pt idx="99">
                  <c:v>2.3599999999999999E-2</c:v>
                </c:pt>
                <c:pt idx="100">
                  <c:v>2.2100000000000002E-2</c:v>
                </c:pt>
                <c:pt idx="101">
                  <c:v>-1.24E-2</c:v>
                </c:pt>
                <c:pt idx="102">
                  <c:v>3.5999999999999999E-3</c:v>
                </c:pt>
                <c:pt idx="103">
                  <c:v>2.8999999999999998E-3</c:v>
                </c:pt>
                <c:pt idx="104">
                  <c:v>1.47E-2</c:v>
                </c:pt>
                <c:pt idx="105">
                  <c:v>4.7300000000000002E-2</c:v>
                </c:pt>
                <c:pt idx="106">
                  <c:v>-7.3000000000000001E-3</c:v>
                </c:pt>
                <c:pt idx="107">
                  <c:v>-1.9099999999999999E-2</c:v>
                </c:pt>
                <c:pt idx="108">
                  <c:v>2.23E-2</c:v>
                </c:pt>
                <c:pt idx="109">
                  <c:v>2.76E-2</c:v>
                </c:pt>
                <c:pt idx="110">
                  <c:v>-1.5599999999999999E-2</c:v>
                </c:pt>
                <c:pt idx="111">
                  <c:v>-0.03</c:v>
                </c:pt>
                <c:pt idx="112">
                  <c:v>-0.1138</c:v>
                </c:pt>
                <c:pt idx="113">
                  <c:v>7.6E-3</c:v>
                </c:pt>
                <c:pt idx="114">
                  <c:v>4.2200000000000001E-2</c:v>
                </c:pt>
                <c:pt idx="115">
                  <c:v>-2.29E-2</c:v>
                </c:pt>
                <c:pt idx="116">
                  <c:v>5.6399999999999999E-2</c:v>
                </c:pt>
                <c:pt idx="117">
                  <c:v>1.7500000000000002E-2</c:v>
                </c:pt>
                <c:pt idx="118">
                  <c:v>1.4E-2</c:v>
                </c:pt>
                <c:pt idx="119">
                  <c:v>3.3399999999999999E-2</c:v>
                </c:pt>
                <c:pt idx="120">
                  <c:v>-2.87E-2</c:v>
                </c:pt>
                <c:pt idx="121">
                  <c:v>-6.0400000000000002E-2</c:v>
                </c:pt>
                <c:pt idx="122">
                  <c:v>2.9999999999999997E-4</c:v>
                </c:pt>
                <c:pt idx="123">
                  <c:v>-8.0000000000000002E-3</c:v>
                </c:pt>
                <c:pt idx="124">
                  <c:v>3.6499999999999998E-2</c:v>
                </c:pt>
                <c:pt idx="125">
                  <c:v>6.1000000000000004E-3</c:v>
                </c:pt>
                <c:pt idx="126">
                  <c:v>-3.8300000000000001E-2</c:v>
                </c:pt>
                <c:pt idx="127">
                  <c:v>-4.3099999999999999E-2</c:v>
                </c:pt>
                <c:pt idx="128">
                  <c:v>1.14E-2</c:v>
                </c:pt>
                <c:pt idx="129">
                  <c:v>-3.4799999999999998E-2</c:v>
                </c:pt>
                <c:pt idx="130">
                  <c:v>-4.4999999999999997E-3</c:v>
                </c:pt>
                <c:pt idx="131">
                  <c:v>-9.4000000000000004E-3</c:v>
                </c:pt>
                <c:pt idx="132">
                  <c:v>4.4499999999999998E-2</c:v>
                </c:pt>
                <c:pt idx="133">
                  <c:v>2.5399999999999999E-2</c:v>
                </c:pt>
                <c:pt idx="134">
                  <c:v>-2.0999999999999999E-3</c:v>
                </c:pt>
                <c:pt idx="135">
                  <c:v>3.4799999999999998E-2</c:v>
                </c:pt>
                <c:pt idx="136">
                  <c:v>2.3199999999999998E-2</c:v>
                </c:pt>
                <c:pt idx="137">
                  <c:v>-6.0000000000000001E-3</c:v>
                </c:pt>
                <c:pt idx="138">
                  <c:v>-5.4800000000000001E-2</c:v>
                </c:pt>
                <c:pt idx="139">
                  <c:v>-3.3999999999999998E-3</c:v>
                </c:pt>
                <c:pt idx="140">
                  <c:v>-6.7999999999999996E-3</c:v>
                </c:pt>
                <c:pt idx="141">
                  <c:v>-4.5499999999999999E-2</c:v>
                </c:pt>
                <c:pt idx="142">
                  <c:v>-6.4999999999999997E-3</c:v>
                </c:pt>
                <c:pt idx="143">
                  <c:v>2.6700000000000002E-2</c:v>
                </c:pt>
                <c:pt idx="144">
                  <c:v>2.24E-2</c:v>
                </c:pt>
                <c:pt idx="145">
                  <c:v>2.7199999999999998E-2</c:v>
                </c:pt>
                <c:pt idx="146">
                  <c:v>6.7000000000000002E-3</c:v>
                </c:pt>
                <c:pt idx="147">
                  <c:v>2.1299999999999999E-2</c:v>
                </c:pt>
                <c:pt idx="148">
                  <c:v>2.12E-2</c:v>
                </c:pt>
                <c:pt idx="149">
                  <c:v>-8.8000000000000005E-3</c:v>
                </c:pt>
                <c:pt idx="150">
                  <c:v>3.1199999999999999E-2</c:v>
                </c:pt>
                <c:pt idx="151">
                  <c:v>-1.49E-2</c:v>
                </c:pt>
                <c:pt idx="152">
                  <c:v>1.3299999999999999E-2</c:v>
                </c:pt>
                <c:pt idx="153">
                  <c:v>-4.4999999999999997E-3</c:v>
                </c:pt>
                <c:pt idx="154">
                  <c:v>1.03E-2</c:v>
                </c:pt>
                <c:pt idx="155">
                  <c:v>9.2999999999999992E-3</c:v>
                </c:pt>
                <c:pt idx="156">
                  <c:v>2.3300000000000001E-2</c:v>
                </c:pt>
                <c:pt idx="157">
                  <c:v>1.78E-2</c:v>
                </c:pt>
                <c:pt idx="158">
                  <c:v>1.0999999999999999E-2</c:v>
                </c:pt>
                <c:pt idx="159">
                  <c:v>3.7199999999999997E-2</c:v>
                </c:pt>
                <c:pt idx="160">
                  <c:v>1.77E-2</c:v>
                </c:pt>
                <c:pt idx="161">
                  <c:v>3.3599999999999998E-2</c:v>
                </c:pt>
                <c:pt idx="162">
                  <c:v>3.2399999999999998E-2</c:v>
                </c:pt>
                <c:pt idx="163">
                  <c:v>9.5999999999999992E-3</c:v>
                </c:pt>
                <c:pt idx="164">
                  <c:v>1.1999999999999999E-3</c:v>
                </c:pt>
                <c:pt idx="165">
                  <c:v>-5.2400000000000002E-2</c:v>
                </c:pt>
                <c:pt idx="166">
                  <c:v>-3.4099999999999998E-2</c:v>
                </c:pt>
                <c:pt idx="167">
                  <c:v>1E-3</c:v>
                </c:pt>
                <c:pt idx="168">
                  <c:v>3.27E-2</c:v>
                </c:pt>
                <c:pt idx="169">
                  <c:v>1.84E-2</c:v>
                </c:pt>
                <c:pt idx="170">
                  <c:v>2.6800000000000001E-2</c:v>
                </c:pt>
                <c:pt idx="171">
                  <c:v>7.7000000000000002E-3</c:v>
                </c:pt>
                <c:pt idx="172">
                  <c:v>-2.3599999999999999E-2</c:v>
                </c:pt>
                <c:pt idx="173">
                  <c:v>2.41E-2</c:v>
                </c:pt>
                <c:pt idx="174">
                  <c:v>1.04E-2</c:v>
                </c:pt>
                <c:pt idx="175">
                  <c:v>8.5000000000000006E-3</c:v>
                </c:pt>
                <c:pt idx="176">
                  <c:v>7.8200000000000006E-2</c:v>
                </c:pt>
                <c:pt idx="177">
                  <c:v>-2.5000000000000001E-3</c:v>
                </c:pt>
                <c:pt idx="178">
                  <c:v>3.5999999999999997E-2</c:v>
                </c:pt>
                <c:pt idx="179">
                  <c:v>1.26E-2</c:v>
                </c:pt>
                <c:pt idx="180">
                  <c:v>-6.8999999999999999E-3</c:v>
                </c:pt>
                <c:pt idx="181">
                  <c:v>7.7999999999999996E-3</c:v>
                </c:pt>
                <c:pt idx="182">
                  <c:v>-2.0000000000000001E-4</c:v>
                </c:pt>
                <c:pt idx="183">
                  <c:v>3.6999999999999998E-2</c:v>
                </c:pt>
                <c:pt idx="184">
                  <c:v>1.0200000000000001E-2</c:v>
                </c:pt>
                <c:pt idx="185">
                  <c:v>-4.0000000000000001E-3</c:v>
                </c:pt>
                <c:pt idx="186">
                  <c:v>-1.0800000000000001E-2</c:v>
                </c:pt>
                <c:pt idx="187">
                  <c:v>-2.4799999999999999E-2</c:v>
                </c:pt>
                <c:pt idx="188">
                  <c:v>-1.83E-2</c:v>
                </c:pt>
                <c:pt idx="189">
                  <c:v>2.8799999999999999E-2</c:v>
                </c:pt>
                <c:pt idx="190">
                  <c:v>-2.0000000000000001E-4</c:v>
                </c:pt>
                <c:pt idx="191">
                  <c:v>-3.0800000000000001E-2</c:v>
                </c:pt>
                <c:pt idx="192">
                  <c:v>-6.9999999999999999E-4</c:v>
                </c:pt>
                <c:pt idx="193">
                  <c:v>-3.2399999999999998E-2</c:v>
                </c:pt>
                <c:pt idx="194">
                  <c:v>-6.8999999999999999E-3</c:v>
                </c:pt>
                <c:pt idx="195">
                  <c:v>-5.9900000000000002E-2</c:v>
                </c:pt>
                <c:pt idx="196">
                  <c:v>2.8799999999999999E-2</c:v>
                </c:pt>
                <c:pt idx="197">
                  <c:v>4.4999999999999997E-3</c:v>
                </c:pt>
                <c:pt idx="198">
                  <c:v>3.3E-3</c:v>
                </c:pt>
                <c:pt idx="199">
                  <c:v>3.4799999999999998E-2</c:v>
                </c:pt>
                <c:pt idx="200">
                  <c:v>-1.37E-2</c:v>
                </c:pt>
                <c:pt idx="201">
                  <c:v>3.9399999999999998E-2</c:v>
                </c:pt>
                <c:pt idx="202">
                  <c:v>6.6E-3</c:v>
                </c:pt>
                <c:pt idx="203">
                  <c:v>1.7000000000000001E-2</c:v>
                </c:pt>
                <c:pt idx="204">
                  <c:v>-3.8999999999999998E-3</c:v>
                </c:pt>
                <c:pt idx="205">
                  <c:v>1.23E-2</c:v>
                </c:pt>
                <c:pt idx="206">
                  <c:v>1E-4</c:v>
                </c:pt>
                <c:pt idx="207">
                  <c:v>1.6999999999999999E-3</c:v>
                </c:pt>
                <c:pt idx="208">
                  <c:v>1.43E-2</c:v>
                </c:pt>
                <c:pt idx="209">
                  <c:v>3.1199999999999999E-2</c:v>
                </c:pt>
                <c:pt idx="210">
                  <c:v>-9.2999999999999992E-3</c:v>
                </c:pt>
                <c:pt idx="211">
                  <c:v>1.5599999999999999E-2</c:v>
                </c:pt>
                <c:pt idx="212">
                  <c:v>1.77E-2</c:v>
                </c:pt>
                <c:pt idx="213">
                  <c:v>1.1599999999999999E-2</c:v>
                </c:pt>
                <c:pt idx="214">
                  <c:v>3.0999999999999999E-3</c:v>
                </c:pt>
                <c:pt idx="215">
                  <c:v>5.7000000000000002E-3</c:v>
                </c:pt>
                <c:pt idx="216">
                  <c:v>6.7000000000000002E-3</c:v>
                </c:pt>
                <c:pt idx="217">
                  <c:v>3.0000000000000001E-3</c:v>
                </c:pt>
                <c:pt idx="218">
                  <c:v>-3.5000000000000001E-3</c:v>
                </c:pt>
                <c:pt idx="219">
                  <c:v>2.2000000000000001E-3</c:v>
                </c:pt>
                <c:pt idx="220">
                  <c:v>-2E-3</c:v>
                </c:pt>
                <c:pt idx="221">
                  <c:v>-2.7300000000000001E-2</c:v>
                </c:pt>
                <c:pt idx="222">
                  <c:v>1.24E-2</c:v>
                </c:pt>
                <c:pt idx="223">
                  <c:v>-5.7000000000000002E-3</c:v>
                </c:pt>
                <c:pt idx="224">
                  <c:v>4.48E-2</c:v>
                </c:pt>
                <c:pt idx="225">
                  <c:v>-1.9E-3</c:v>
                </c:pt>
                <c:pt idx="226">
                  <c:v>2.1899999999999999E-2</c:v>
                </c:pt>
                <c:pt idx="227">
                  <c:v>4.3E-3</c:v>
                </c:pt>
                <c:pt idx="228">
                  <c:v>-8.6E-3</c:v>
                </c:pt>
                <c:pt idx="229">
                  <c:v>-3.1E-2</c:v>
                </c:pt>
                <c:pt idx="230">
                  <c:v>1.8499999999999999E-2</c:v>
                </c:pt>
                <c:pt idx="231">
                  <c:v>-3.5299999999999998E-2</c:v>
                </c:pt>
                <c:pt idx="232">
                  <c:v>1.2200000000000001E-2</c:v>
                </c:pt>
                <c:pt idx="233">
                  <c:v>-1.3899999999999999E-2</c:v>
                </c:pt>
                <c:pt idx="234">
                  <c:v>2.58E-2</c:v>
                </c:pt>
                <c:pt idx="235">
                  <c:v>8.2000000000000007E-3</c:v>
                </c:pt>
                <c:pt idx="236">
                  <c:v>8.3000000000000001E-3</c:v>
                </c:pt>
                <c:pt idx="237">
                  <c:v>3.3E-3</c:v>
                </c:pt>
                <c:pt idx="238">
                  <c:v>-2.6100000000000002E-2</c:v>
                </c:pt>
                <c:pt idx="239">
                  <c:v>-3.3300000000000003E-2</c:v>
                </c:pt>
                <c:pt idx="240">
                  <c:v>3.5099999999999999E-2</c:v>
                </c:pt>
                <c:pt idx="241">
                  <c:v>5.0000000000000001E-4</c:v>
                </c:pt>
                <c:pt idx="242">
                  <c:v>-1E-3</c:v>
                </c:pt>
                <c:pt idx="243">
                  <c:v>8.3000000000000001E-3</c:v>
                </c:pt>
                <c:pt idx="244">
                  <c:v>-1.66E-2</c:v>
                </c:pt>
                <c:pt idx="245">
                  <c:v>4.1999999999999997E-3</c:v>
                </c:pt>
                <c:pt idx="246">
                  <c:v>3.0499999999999999E-2</c:v>
                </c:pt>
                <c:pt idx="247">
                  <c:v>-2.1000000000000001E-2</c:v>
                </c:pt>
                <c:pt idx="248">
                  <c:v>-1.47E-2</c:v>
                </c:pt>
                <c:pt idx="249">
                  <c:v>1.89E-2</c:v>
                </c:pt>
                <c:pt idx="250">
                  <c:v>-3.6900000000000002E-2</c:v>
                </c:pt>
                <c:pt idx="251">
                  <c:v>2.0000000000000001E-4</c:v>
                </c:pt>
                <c:pt idx="252">
                  <c:v>1.6299999999999999E-2</c:v>
                </c:pt>
                <c:pt idx="253">
                  <c:v>-6.6E-3</c:v>
                </c:pt>
                <c:pt idx="254">
                  <c:v>-1.6000000000000001E-3</c:v>
                </c:pt>
                <c:pt idx="255">
                  <c:v>-5.7999999999999996E-3</c:v>
                </c:pt>
                <c:pt idx="256">
                  <c:v>4.5199999999999997E-2</c:v>
                </c:pt>
                <c:pt idx="257">
                  <c:v>8.8000000000000005E-3</c:v>
                </c:pt>
                <c:pt idx="258">
                  <c:v>-1.14E-2</c:v>
                </c:pt>
                <c:pt idx="259">
                  <c:v>3.3999999999999998E-3</c:v>
                </c:pt>
                <c:pt idx="260">
                  <c:v>2.0199999999999999E-2</c:v>
                </c:pt>
              </c:numCache>
            </c:numRef>
          </c:xVal>
          <c:yVal>
            <c:numRef>
              <c:f>'Kri-Kri Milk Stock Price Histor'!$C$2:$C$262</c:f>
              <c:numCache>
                <c:formatCode>0.00%</c:formatCode>
                <c:ptCount val="261"/>
                <c:pt idx="0">
                  <c:v>-2.5399999999999999E-2</c:v>
                </c:pt>
                <c:pt idx="1">
                  <c:v>2.23E-2</c:v>
                </c:pt>
                <c:pt idx="2">
                  <c:v>2.9100000000000001E-2</c:v>
                </c:pt>
                <c:pt idx="3">
                  <c:v>-4.24E-2</c:v>
                </c:pt>
                <c:pt idx="4">
                  <c:v>7.4000000000000003E-3</c:v>
                </c:pt>
                <c:pt idx="5">
                  <c:v>2.1999999999999999E-2</c:v>
                </c:pt>
                <c:pt idx="6">
                  <c:v>-2.87E-2</c:v>
                </c:pt>
                <c:pt idx="7">
                  <c:v>-0.1439</c:v>
                </c:pt>
                <c:pt idx="8">
                  <c:v>-3.4500000000000003E-2</c:v>
                </c:pt>
                <c:pt idx="9">
                  <c:v>-0.1406</c:v>
                </c:pt>
                <c:pt idx="10">
                  <c:v>0.18179999999999999</c:v>
                </c:pt>
                <c:pt idx="11">
                  <c:v>-4.3999999999999997E-2</c:v>
                </c:pt>
                <c:pt idx="12">
                  <c:v>-1.15E-2</c:v>
                </c:pt>
                <c:pt idx="13">
                  <c:v>6.9800000000000001E-2</c:v>
                </c:pt>
                <c:pt idx="14">
                  <c:v>1.09E-2</c:v>
                </c:pt>
                <c:pt idx="15">
                  <c:v>2.58E-2</c:v>
                </c:pt>
                <c:pt idx="16">
                  <c:v>1.89E-2</c:v>
                </c:pt>
                <c:pt idx="17">
                  <c:v>2.47E-2</c:v>
                </c:pt>
                <c:pt idx="18">
                  <c:v>-1.61E-2</c:v>
                </c:pt>
                <c:pt idx="19">
                  <c:v>3.27E-2</c:v>
                </c:pt>
                <c:pt idx="20">
                  <c:v>5.5300000000000002E-2</c:v>
                </c:pt>
                <c:pt idx="21">
                  <c:v>0.1236</c:v>
                </c:pt>
                <c:pt idx="22">
                  <c:v>-8.6699999999999999E-2</c:v>
                </c:pt>
                <c:pt idx="23">
                  <c:v>-1.46E-2</c:v>
                </c:pt>
                <c:pt idx="24">
                  <c:v>5.9299999999999999E-2</c:v>
                </c:pt>
                <c:pt idx="25">
                  <c:v>1.7500000000000002E-2</c:v>
                </c:pt>
                <c:pt idx="26">
                  <c:v>1.37E-2</c:v>
                </c:pt>
                <c:pt idx="27">
                  <c:v>6.7999999999999996E-3</c:v>
                </c:pt>
                <c:pt idx="28">
                  <c:v>-2.0199999999999999E-2</c:v>
                </c:pt>
                <c:pt idx="29">
                  <c:v>-1.37E-2</c:v>
                </c:pt>
                <c:pt idx="30">
                  <c:v>8.7099999999999997E-2</c:v>
                </c:pt>
                <c:pt idx="31">
                  <c:v>-5.45E-2</c:v>
                </c:pt>
                <c:pt idx="32">
                  <c:v>0</c:v>
                </c:pt>
                <c:pt idx="33">
                  <c:v>6.7999999999999996E-3</c:v>
                </c:pt>
                <c:pt idx="34">
                  <c:v>6.7000000000000002E-3</c:v>
                </c:pt>
                <c:pt idx="35">
                  <c:v>-3.0099999999999998E-2</c:v>
                </c:pt>
                <c:pt idx="36">
                  <c:v>4.48E-2</c:v>
                </c:pt>
                <c:pt idx="37">
                  <c:v>-6.6E-3</c:v>
                </c:pt>
                <c:pt idx="38">
                  <c:v>2.3300000000000001E-2</c:v>
                </c:pt>
                <c:pt idx="39">
                  <c:v>6.4899999999999999E-2</c:v>
                </c:pt>
                <c:pt idx="40">
                  <c:v>-3.9600000000000003E-2</c:v>
                </c:pt>
                <c:pt idx="41">
                  <c:v>6.3E-3</c:v>
                </c:pt>
                <c:pt idx="42">
                  <c:v>-2.52E-2</c:v>
                </c:pt>
                <c:pt idx="43">
                  <c:v>1.29E-2</c:v>
                </c:pt>
                <c:pt idx="44">
                  <c:v>6.4000000000000003E-3</c:v>
                </c:pt>
                <c:pt idx="45">
                  <c:v>1.9E-2</c:v>
                </c:pt>
                <c:pt idx="46">
                  <c:v>0</c:v>
                </c:pt>
                <c:pt idx="47">
                  <c:v>-3.0999999999999999E-3</c:v>
                </c:pt>
                <c:pt idx="48">
                  <c:v>0</c:v>
                </c:pt>
                <c:pt idx="49">
                  <c:v>4.0599999999999997E-2</c:v>
                </c:pt>
                <c:pt idx="50">
                  <c:v>-3.3000000000000002E-2</c:v>
                </c:pt>
                <c:pt idx="51">
                  <c:v>1.55E-2</c:v>
                </c:pt>
                <c:pt idx="52">
                  <c:v>9.1999999999999998E-3</c:v>
                </c:pt>
                <c:pt idx="53">
                  <c:v>0</c:v>
                </c:pt>
                <c:pt idx="54">
                  <c:v>3.0000000000000001E-3</c:v>
                </c:pt>
                <c:pt idx="55">
                  <c:v>6.0000000000000001E-3</c:v>
                </c:pt>
                <c:pt idx="56">
                  <c:v>4.2000000000000003E-2</c:v>
                </c:pt>
                <c:pt idx="57">
                  <c:v>2.3099999999999999E-2</c:v>
                </c:pt>
                <c:pt idx="58">
                  <c:v>-1.41E-2</c:v>
                </c:pt>
                <c:pt idx="59">
                  <c:v>0.04</c:v>
                </c:pt>
                <c:pt idx="60">
                  <c:v>-2.7000000000000001E-3</c:v>
                </c:pt>
                <c:pt idx="61">
                  <c:v>0</c:v>
                </c:pt>
                <c:pt idx="62">
                  <c:v>1.9300000000000001E-2</c:v>
                </c:pt>
                <c:pt idx="63">
                  <c:v>8.0999999999999996E-3</c:v>
                </c:pt>
                <c:pt idx="64">
                  <c:v>3.2199999999999999E-2</c:v>
                </c:pt>
                <c:pt idx="65">
                  <c:v>7.7999999999999996E-3</c:v>
                </c:pt>
                <c:pt idx="66">
                  <c:v>-2.06E-2</c:v>
                </c:pt>
                <c:pt idx="67">
                  <c:v>-1.32E-2</c:v>
                </c:pt>
                <c:pt idx="68">
                  <c:v>2.93E-2</c:v>
                </c:pt>
                <c:pt idx="69">
                  <c:v>-1.55E-2</c:v>
                </c:pt>
                <c:pt idx="70">
                  <c:v>-1.84E-2</c:v>
                </c:pt>
                <c:pt idx="71">
                  <c:v>-2.7000000000000001E-3</c:v>
                </c:pt>
                <c:pt idx="72">
                  <c:v>2.69E-2</c:v>
                </c:pt>
                <c:pt idx="73">
                  <c:v>1.3100000000000001E-2</c:v>
                </c:pt>
                <c:pt idx="74">
                  <c:v>2.07E-2</c:v>
                </c:pt>
                <c:pt idx="75">
                  <c:v>1.77E-2</c:v>
                </c:pt>
                <c:pt idx="76">
                  <c:v>5.7200000000000001E-2</c:v>
                </c:pt>
                <c:pt idx="77">
                  <c:v>3.5299999999999998E-2</c:v>
                </c:pt>
                <c:pt idx="78">
                  <c:v>-1.8200000000000001E-2</c:v>
                </c:pt>
                <c:pt idx="79">
                  <c:v>-4.5999999999999999E-3</c:v>
                </c:pt>
                <c:pt idx="80">
                  <c:v>7.0000000000000001E-3</c:v>
                </c:pt>
                <c:pt idx="81">
                  <c:v>1.6199999999999999E-2</c:v>
                </c:pt>
                <c:pt idx="82">
                  <c:v>-6.7999999999999996E-3</c:v>
                </c:pt>
                <c:pt idx="83">
                  <c:v>-3.4299999999999997E-2</c:v>
                </c:pt>
                <c:pt idx="84">
                  <c:v>7.1000000000000004E-3</c:v>
                </c:pt>
                <c:pt idx="85">
                  <c:v>0</c:v>
                </c:pt>
                <c:pt idx="86">
                  <c:v>2.3999999999999998E-3</c:v>
                </c:pt>
                <c:pt idx="87">
                  <c:v>-3.7600000000000001E-2</c:v>
                </c:pt>
                <c:pt idx="88">
                  <c:v>2.1999999999999999E-2</c:v>
                </c:pt>
                <c:pt idx="89">
                  <c:v>-8.8300000000000003E-2</c:v>
                </c:pt>
                <c:pt idx="90">
                  <c:v>-1.0500000000000001E-2</c:v>
                </c:pt>
                <c:pt idx="91">
                  <c:v>1.8499999999999999E-2</c:v>
                </c:pt>
                <c:pt idx="92">
                  <c:v>3.3799999999999997E-2</c:v>
                </c:pt>
                <c:pt idx="93">
                  <c:v>4.2700000000000002E-2</c:v>
                </c:pt>
                <c:pt idx="94">
                  <c:v>-3.8600000000000002E-2</c:v>
                </c:pt>
                <c:pt idx="95">
                  <c:v>-2.5000000000000001E-3</c:v>
                </c:pt>
                <c:pt idx="96">
                  <c:v>4.02E-2</c:v>
                </c:pt>
                <c:pt idx="97">
                  <c:v>-2.3999999999999998E-3</c:v>
                </c:pt>
                <c:pt idx="98">
                  <c:v>-2.4199999999999999E-2</c:v>
                </c:pt>
                <c:pt idx="99">
                  <c:v>2.98E-2</c:v>
                </c:pt>
                <c:pt idx="100">
                  <c:v>-2.41E-2</c:v>
                </c:pt>
                <c:pt idx="101">
                  <c:v>-4.8999999999999998E-3</c:v>
                </c:pt>
                <c:pt idx="102">
                  <c:v>5.4600000000000003E-2</c:v>
                </c:pt>
                <c:pt idx="103">
                  <c:v>0</c:v>
                </c:pt>
                <c:pt idx="104">
                  <c:v>-9.4000000000000004E-3</c:v>
                </c:pt>
                <c:pt idx="105">
                  <c:v>4.7999999999999996E-3</c:v>
                </c:pt>
                <c:pt idx="106">
                  <c:v>-2.8400000000000002E-2</c:v>
                </c:pt>
                <c:pt idx="107">
                  <c:v>9.7000000000000003E-3</c:v>
                </c:pt>
                <c:pt idx="108">
                  <c:v>9.5999999999999992E-3</c:v>
                </c:pt>
                <c:pt idx="109">
                  <c:v>-2.1499999999999998E-2</c:v>
                </c:pt>
                <c:pt idx="110">
                  <c:v>-2.6800000000000001E-2</c:v>
                </c:pt>
                <c:pt idx="111">
                  <c:v>-4.7600000000000003E-2</c:v>
                </c:pt>
                <c:pt idx="112">
                  <c:v>-1.32E-2</c:v>
                </c:pt>
                <c:pt idx="113">
                  <c:v>-1.6E-2</c:v>
                </c:pt>
                <c:pt idx="114">
                  <c:v>1.3599999999999999E-2</c:v>
                </c:pt>
                <c:pt idx="115">
                  <c:v>-4.2799999999999998E-2</c:v>
                </c:pt>
                <c:pt idx="116">
                  <c:v>4.7500000000000001E-2</c:v>
                </c:pt>
                <c:pt idx="117">
                  <c:v>-3.73E-2</c:v>
                </c:pt>
                <c:pt idx="118">
                  <c:v>4.4299999999999999E-2</c:v>
                </c:pt>
                <c:pt idx="119">
                  <c:v>-3.4500000000000003E-2</c:v>
                </c:pt>
                <c:pt idx="120">
                  <c:v>-3.85E-2</c:v>
                </c:pt>
                <c:pt idx="121">
                  <c:v>-7.1400000000000005E-2</c:v>
                </c:pt>
                <c:pt idx="122">
                  <c:v>-6.1999999999999998E-3</c:v>
                </c:pt>
                <c:pt idx="123">
                  <c:v>-9.2999999999999992E-3</c:v>
                </c:pt>
                <c:pt idx="124">
                  <c:v>6.1999999999999998E-3</c:v>
                </c:pt>
                <c:pt idx="125">
                  <c:v>-6.83E-2</c:v>
                </c:pt>
                <c:pt idx="126">
                  <c:v>-6.7000000000000002E-3</c:v>
                </c:pt>
                <c:pt idx="127">
                  <c:v>-4.0300000000000002E-2</c:v>
                </c:pt>
                <c:pt idx="128">
                  <c:v>-1.0500000000000001E-2</c:v>
                </c:pt>
                <c:pt idx="129">
                  <c:v>-2.8299999999999999E-2</c:v>
                </c:pt>
                <c:pt idx="130">
                  <c:v>1.8200000000000001E-2</c:v>
                </c:pt>
                <c:pt idx="131">
                  <c:v>4.2900000000000001E-2</c:v>
                </c:pt>
                <c:pt idx="132">
                  <c:v>1.03E-2</c:v>
                </c:pt>
                <c:pt idx="133">
                  <c:v>-3.39E-2</c:v>
                </c:pt>
                <c:pt idx="134">
                  <c:v>4.9099999999999998E-2</c:v>
                </c:pt>
                <c:pt idx="135">
                  <c:v>-3.3E-3</c:v>
                </c:pt>
                <c:pt idx="136">
                  <c:v>1.6799999999999999E-2</c:v>
                </c:pt>
                <c:pt idx="137">
                  <c:v>-2.3099999999999999E-2</c:v>
                </c:pt>
                <c:pt idx="138">
                  <c:v>-3.7199999999999997E-2</c:v>
                </c:pt>
                <c:pt idx="139">
                  <c:v>-6.6699999999999995E-2</c:v>
                </c:pt>
                <c:pt idx="140">
                  <c:v>7.4999999999999997E-3</c:v>
                </c:pt>
                <c:pt idx="141">
                  <c:v>-5.2200000000000003E-2</c:v>
                </c:pt>
                <c:pt idx="142">
                  <c:v>-3.8999999999999998E-3</c:v>
                </c:pt>
                <c:pt idx="143">
                  <c:v>8.6999999999999994E-2</c:v>
                </c:pt>
                <c:pt idx="144">
                  <c:v>-1.4500000000000001E-2</c:v>
                </c:pt>
                <c:pt idx="145">
                  <c:v>-1.11E-2</c:v>
                </c:pt>
                <c:pt idx="146">
                  <c:v>1.12E-2</c:v>
                </c:pt>
                <c:pt idx="147">
                  <c:v>-3.7000000000000002E-3</c:v>
                </c:pt>
                <c:pt idx="148">
                  <c:v>6.6699999999999995E-2</c:v>
                </c:pt>
                <c:pt idx="149">
                  <c:v>-1.04E-2</c:v>
                </c:pt>
                <c:pt idx="150">
                  <c:v>8.0699999999999994E-2</c:v>
                </c:pt>
                <c:pt idx="151">
                  <c:v>-4.5499999999999999E-2</c:v>
                </c:pt>
                <c:pt idx="152">
                  <c:v>2.0400000000000001E-2</c:v>
                </c:pt>
                <c:pt idx="153">
                  <c:v>0.06</c:v>
                </c:pt>
                <c:pt idx="154">
                  <c:v>-6.3E-3</c:v>
                </c:pt>
                <c:pt idx="155">
                  <c:v>-1.9E-2</c:v>
                </c:pt>
                <c:pt idx="156">
                  <c:v>4.5199999999999997E-2</c:v>
                </c:pt>
                <c:pt idx="157">
                  <c:v>3.0999999999999999E-3</c:v>
                </c:pt>
                <c:pt idx="158">
                  <c:v>-9.1999999999999998E-3</c:v>
                </c:pt>
                <c:pt idx="159">
                  <c:v>-4.9700000000000001E-2</c:v>
                </c:pt>
                <c:pt idx="160">
                  <c:v>1.3100000000000001E-2</c:v>
                </c:pt>
                <c:pt idx="161">
                  <c:v>-1.61E-2</c:v>
                </c:pt>
                <c:pt idx="162">
                  <c:v>1.9699999999999999E-2</c:v>
                </c:pt>
                <c:pt idx="163">
                  <c:v>1.9300000000000001E-2</c:v>
                </c:pt>
                <c:pt idx="164">
                  <c:v>6.3E-3</c:v>
                </c:pt>
                <c:pt idx="165">
                  <c:v>3.1300000000000001E-2</c:v>
                </c:pt>
                <c:pt idx="166">
                  <c:v>-7.2900000000000006E-2</c:v>
                </c:pt>
                <c:pt idx="167">
                  <c:v>4.9200000000000001E-2</c:v>
                </c:pt>
                <c:pt idx="168">
                  <c:v>-9.4000000000000004E-3</c:v>
                </c:pt>
                <c:pt idx="169">
                  <c:v>-3.2000000000000002E-3</c:v>
                </c:pt>
                <c:pt idx="170">
                  <c:v>2.8500000000000001E-2</c:v>
                </c:pt>
                <c:pt idx="171">
                  <c:v>-6.1999999999999998E-3</c:v>
                </c:pt>
                <c:pt idx="172">
                  <c:v>2.1700000000000001E-2</c:v>
                </c:pt>
                <c:pt idx="173">
                  <c:v>4.8500000000000001E-2</c:v>
                </c:pt>
                <c:pt idx="174">
                  <c:v>2.5999999999999999E-2</c:v>
                </c:pt>
                <c:pt idx="175">
                  <c:v>1.1299999999999999E-2</c:v>
                </c:pt>
                <c:pt idx="176">
                  <c:v>0.13650000000000001</c:v>
                </c:pt>
                <c:pt idx="177">
                  <c:v>-1.9599999999999999E-2</c:v>
                </c:pt>
                <c:pt idx="178">
                  <c:v>7.4999999999999997E-3</c:v>
                </c:pt>
                <c:pt idx="179">
                  <c:v>-1.24E-2</c:v>
                </c:pt>
                <c:pt idx="180">
                  <c:v>-2.5000000000000001E-3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3.0099999999999998E-2</c:v>
                </c:pt>
                <c:pt idx="184">
                  <c:v>1.7000000000000001E-2</c:v>
                </c:pt>
                <c:pt idx="185">
                  <c:v>2.87E-2</c:v>
                </c:pt>
                <c:pt idx="186">
                  <c:v>0</c:v>
                </c:pt>
                <c:pt idx="187">
                  <c:v>-3.0200000000000001E-2</c:v>
                </c:pt>
                <c:pt idx="188">
                  <c:v>-1.6799999999999999E-2</c:v>
                </c:pt>
                <c:pt idx="189">
                  <c:v>2.4400000000000002E-2</c:v>
                </c:pt>
                <c:pt idx="190">
                  <c:v>-1.67E-2</c:v>
                </c:pt>
                <c:pt idx="191">
                  <c:v>-4.5999999999999999E-2</c:v>
                </c:pt>
                <c:pt idx="192">
                  <c:v>-1.0200000000000001E-2</c:v>
                </c:pt>
                <c:pt idx="193">
                  <c:v>2.5999999999999999E-3</c:v>
                </c:pt>
                <c:pt idx="194">
                  <c:v>6.3899999999999998E-2</c:v>
                </c:pt>
                <c:pt idx="195">
                  <c:v>-1.44E-2</c:v>
                </c:pt>
                <c:pt idx="196">
                  <c:v>-3.4099999999999998E-2</c:v>
                </c:pt>
                <c:pt idx="197">
                  <c:v>2.2700000000000001E-2</c:v>
                </c:pt>
                <c:pt idx="198">
                  <c:v>-2.5000000000000001E-3</c:v>
                </c:pt>
                <c:pt idx="199">
                  <c:v>5.0000000000000001E-3</c:v>
                </c:pt>
                <c:pt idx="200">
                  <c:v>5.4199999999999998E-2</c:v>
                </c:pt>
                <c:pt idx="201">
                  <c:v>-7.0000000000000001E-3</c:v>
                </c:pt>
                <c:pt idx="202">
                  <c:v>5.6500000000000002E-2</c:v>
                </c:pt>
                <c:pt idx="203">
                  <c:v>5.1200000000000002E-2</c:v>
                </c:pt>
                <c:pt idx="204">
                  <c:v>-2.0999999999999999E-3</c:v>
                </c:pt>
                <c:pt idx="205">
                  <c:v>8.5000000000000006E-3</c:v>
                </c:pt>
                <c:pt idx="206">
                  <c:v>4.1999999999999997E-3</c:v>
                </c:pt>
                <c:pt idx="207">
                  <c:v>4.1999999999999997E-3</c:v>
                </c:pt>
                <c:pt idx="208">
                  <c:v>2.3E-2</c:v>
                </c:pt>
                <c:pt idx="209">
                  <c:v>8.2000000000000007E-3</c:v>
                </c:pt>
                <c:pt idx="210">
                  <c:v>4.0000000000000001E-3</c:v>
                </c:pt>
                <c:pt idx="211">
                  <c:v>-4.0000000000000001E-3</c:v>
                </c:pt>
                <c:pt idx="212">
                  <c:v>2E-3</c:v>
                </c:pt>
                <c:pt idx="213">
                  <c:v>0</c:v>
                </c:pt>
                <c:pt idx="214">
                  <c:v>0</c:v>
                </c:pt>
                <c:pt idx="215">
                  <c:v>6.5699999999999995E-2</c:v>
                </c:pt>
                <c:pt idx="216">
                  <c:v>2.8400000000000002E-2</c:v>
                </c:pt>
                <c:pt idx="217">
                  <c:v>9.1999999999999998E-3</c:v>
                </c:pt>
                <c:pt idx="218">
                  <c:v>9.5899999999999999E-2</c:v>
                </c:pt>
                <c:pt idx="219">
                  <c:v>-1.67E-2</c:v>
                </c:pt>
                <c:pt idx="220">
                  <c:v>-8.5000000000000006E-3</c:v>
                </c:pt>
                <c:pt idx="221">
                  <c:v>-6.8400000000000002E-2</c:v>
                </c:pt>
                <c:pt idx="222">
                  <c:v>3.6700000000000003E-2</c:v>
                </c:pt>
                <c:pt idx="223">
                  <c:v>-8.8000000000000005E-3</c:v>
                </c:pt>
                <c:pt idx="224">
                  <c:v>-2.23E-2</c:v>
                </c:pt>
                <c:pt idx="225">
                  <c:v>-3.2000000000000001E-2</c:v>
                </c:pt>
                <c:pt idx="226">
                  <c:v>4.7000000000000002E-3</c:v>
                </c:pt>
                <c:pt idx="227">
                  <c:v>3.2899999999999999E-2</c:v>
                </c:pt>
                <c:pt idx="228">
                  <c:v>2.7300000000000001E-2</c:v>
                </c:pt>
                <c:pt idx="229">
                  <c:v>-1.3299999999999999E-2</c:v>
                </c:pt>
                <c:pt idx="230">
                  <c:v>-1.35E-2</c:v>
                </c:pt>
                <c:pt idx="231">
                  <c:v>-4.5499999999999999E-2</c:v>
                </c:pt>
                <c:pt idx="232">
                  <c:v>1.43E-2</c:v>
                </c:pt>
                <c:pt idx="233">
                  <c:v>6.5699999999999995E-2</c:v>
                </c:pt>
                <c:pt idx="234">
                  <c:v>2.1999999999999999E-2</c:v>
                </c:pt>
                <c:pt idx="235">
                  <c:v>-8.6E-3</c:v>
                </c:pt>
                <c:pt idx="236">
                  <c:v>-8.6999999999999994E-3</c:v>
                </c:pt>
                <c:pt idx="237">
                  <c:v>1.32E-2</c:v>
                </c:pt>
                <c:pt idx="238">
                  <c:v>-4.3299999999999998E-2</c:v>
                </c:pt>
                <c:pt idx="239">
                  <c:v>3.1699999999999999E-2</c:v>
                </c:pt>
                <c:pt idx="240">
                  <c:v>5.2600000000000001E-2</c:v>
                </c:pt>
                <c:pt idx="241">
                  <c:v>2.5000000000000001E-2</c:v>
                </c:pt>
                <c:pt idx="242">
                  <c:v>-8.0999999999999996E-3</c:v>
                </c:pt>
                <c:pt idx="243">
                  <c:v>1.23E-2</c:v>
                </c:pt>
                <c:pt idx="244">
                  <c:v>4.0000000000000001E-3</c:v>
                </c:pt>
                <c:pt idx="245">
                  <c:v>5.6500000000000002E-2</c:v>
                </c:pt>
                <c:pt idx="246">
                  <c:v>2.6700000000000002E-2</c:v>
                </c:pt>
                <c:pt idx="247">
                  <c:v>-2.5999999999999999E-2</c:v>
                </c:pt>
                <c:pt idx="248">
                  <c:v>7.6E-3</c:v>
                </c:pt>
                <c:pt idx="249">
                  <c:v>-3.8E-3</c:v>
                </c:pt>
                <c:pt idx="250">
                  <c:v>6.08E-2</c:v>
                </c:pt>
                <c:pt idx="251">
                  <c:v>-2.5100000000000001E-2</c:v>
                </c:pt>
                <c:pt idx="252">
                  <c:v>3.6799999999999999E-2</c:v>
                </c:pt>
                <c:pt idx="253">
                  <c:v>2.1299999999999999E-2</c:v>
                </c:pt>
                <c:pt idx="254">
                  <c:v>-6.8999999999999999E-3</c:v>
                </c:pt>
                <c:pt idx="255">
                  <c:v>0</c:v>
                </c:pt>
                <c:pt idx="256">
                  <c:v>6.6400000000000001E-2</c:v>
                </c:pt>
                <c:pt idx="257">
                  <c:v>-3.3E-3</c:v>
                </c:pt>
                <c:pt idx="258">
                  <c:v>9.9000000000000008E-3</c:v>
                </c:pt>
                <c:pt idx="259">
                  <c:v>-2.2800000000000001E-2</c:v>
                </c:pt>
                <c:pt idx="260">
                  <c:v>3.6700000000000003E-2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3-4C06-B362-67B766AD75FD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Histor'!$E$2:$E$262</c:f>
              <c:numCache>
                <c:formatCode>0.00%</c:formatCode>
                <c:ptCount val="261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  <c:pt idx="53">
                  <c:v>-3.56E-2</c:v>
                </c:pt>
                <c:pt idx="54">
                  <c:v>-1.41E-2</c:v>
                </c:pt>
                <c:pt idx="55">
                  <c:v>-3.7900000000000003E-2</c:v>
                </c:pt>
                <c:pt idx="56">
                  <c:v>2.0199999999999999E-2</c:v>
                </c:pt>
                <c:pt idx="57">
                  <c:v>1.4999999999999999E-2</c:v>
                </c:pt>
                <c:pt idx="58">
                  <c:v>6.8999999999999999E-3</c:v>
                </c:pt>
                <c:pt idx="59">
                  <c:v>1.4E-2</c:v>
                </c:pt>
                <c:pt idx="60">
                  <c:v>4.1200000000000001E-2</c:v>
                </c:pt>
                <c:pt idx="61">
                  <c:v>0.03</c:v>
                </c:pt>
                <c:pt idx="62">
                  <c:v>-1.9699999999999999E-2</c:v>
                </c:pt>
                <c:pt idx="63">
                  <c:v>2.2499999999999999E-2</c:v>
                </c:pt>
                <c:pt idx="64">
                  <c:v>2.75E-2</c:v>
                </c:pt>
                <c:pt idx="65">
                  <c:v>1.8800000000000001E-2</c:v>
                </c:pt>
                <c:pt idx="66">
                  <c:v>7.7999999999999996E-3</c:v>
                </c:pt>
                <c:pt idx="67">
                  <c:v>1.1000000000000001E-3</c:v>
                </c:pt>
                <c:pt idx="68">
                  <c:v>1.2E-2</c:v>
                </c:pt>
                <c:pt idx="69">
                  <c:v>-1.47E-2</c:v>
                </c:pt>
                <c:pt idx="70">
                  <c:v>1.12E-2</c:v>
                </c:pt>
                <c:pt idx="71">
                  <c:v>-4.36E-2</c:v>
                </c:pt>
                <c:pt idx="72">
                  <c:v>2.3099999999999999E-2</c:v>
                </c:pt>
                <c:pt idx="73">
                  <c:v>1.5800000000000002E-2</c:v>
                </c:pt>
                <c:pt idx="74">
                  <c:v>2.69E-2</c:v>
                </c:pt>
                <c:pt idx="75">
                  <c:v>-2.1899999999999999E-2</c:v>
                </c:pt>
                <c:pt idx="76">
                  <c:v>2.3999999999999998E-3</c:v>
                </c:pt>
                <c:pt idx="77">
                  <c:v>-2.3199999999999998E-2</c:v>
                </c:pt>
                <c:pt idx="78">
                  <c:v>-1.4E-2</c:v>
                </c:pt>
                <c:pt idx="79">
                  <c:v>-8.5000000000000006E-3</c:v>
                </c:pt>
                <c:pt idx="80">
                  <c:v>-2.7000000000000001E-3</c:v>
                </c:pt>
                <c:pt idx="81">
                  <c:v>2.76E-2</c:v>
                </c:pt>
                <c:pt idx="82">
                  <c:v>5.8999999999999999E-3</c:v>
                </c:pt>
                <c:pt idx="83">
                  <c:v>2E-3</c:v>
                </c:pt>
                <c:pt idx="84">
                  <c:v>-1.3599999999999999E-2</c:v>
                </c:pt>
                <c:pt idx="85">
                  <c:v>3.5400000000000001E-2</c:v>
                </c:pt>
                <c:pt idx="86">
                  <c:v>6.9999999999999999E-4</c:v>
                </c:pt>
                <c:pt idx="87">
                  <c:v>-1.52E-2</c:v>
                </c:pt>
                <c:pt idx="88">
                  <c:v>1.2999999999999999E-2</c:v>
                </c:pt>
                <c:pt idx="89">
                  <c:v>-4.3499999999999997E-2</c:v>
                </c:pt>
                <c:pt idx="90">
                  <c:v>-2.3E-3</c:v>
                </c:pt>
                <c:pt idx="91">
                  <c:v>2.47E-2</c:v>
                </c:pt>
                <c:pt idx="92">
                  <c:v>2.3999999999999998E-3</c:v>
                </c:pt>
                <c:pt idx="93">
                  <c:v>1.15E-2</c:v>
                </c:pt>
                <c:pt idx="94">
                  <c:v>-7.7000000000000002E-3</c:v>
                </c:pt>
                <c:pt idx="95">
                  <c:v>9.7999999999999997E-3</c:v>
                </c:pt>
                <c:pt idx="96">
                  <c:v>7.7999999999999996E-3</c:v>
                </c:pt>
                <c:pt idx="97">
                  <c:v>1.1999999999999999E-3</c:v>
                </c:pt>
                <c:pt idx="98">
                  <c:v>-6.13E-2</c:v>
                </c:pt>
                <c:pt idx="99">
                  <c:v>2.3599999999999999E-2</c:v>
                </c:pt>
                <c:pt idx="100">
                  <c:v>2.2100000000000002E-2</c:v>
                </c:pt>
                <c:pt idx="101">
                  <c:v>-1.24E-2</c:v>
                </c:pt>
                <c:pt idx="102">
                  <c:v>3.5999999999999999E-3</c:v>
                </c:pt>
                <c:pt idx="103">
                  <c:v>2.8999999999999998E-3</c:v>
                </c:pt>
                <c:pt idx="104">
                  <c:v>1.47E-2</c:v>
                </c:pt>
                <c:pt idx="105">
                  <c:v>4.7300000000000002E-2</c:v>
                </c:pt>
                <c:pt idx="106">
                  <c:v>-7.3000000000000001E-3</c:v>
                </c:pt>
                <c:pt idx="107">
                  <c:v>-1.9099999999999999E-2</c:v>
                </c:pt>
                <c:pt idx="108">
                  <c:v>2.23E-2</c:v>
                </c:pt>
                <c:pt idx="109">
                  <c:v>2.76E-2</c:v>
                </c:pt>
                <c:pt idx="110">
                  <c:v>-1.5599999999999999E-2</c:v>
                </c:pt>
                <c:pt idx="111">
                  <c:v>-0.03</c:v>
                </c:pt>
                <c:pt idx="112">
                  <c:v>-0.1138</c:v>
                </c:pt>
                <c:pt idx="113">
                  <c:v>7.6E-3</c:v>
                </c:pt>
                <c:pt idx="114">
                  <c:v>4.2200000000000001E-2</c:v>
                </c:pt>
                <c:pt idx="115">
                  <c:v>-2.29E-2</c:v>
                </c:pt>
                <c:pt idx="116">
                  <c:v>5.6399999999999999E-2</c:v>
                </c:pt>
                <c:pt idx="117">
                  <c:v>1.7500000000000002E-2</c:v>
                </c:pt>
                <c:pt idx="118">
                  <c:v>1.4E-2</c:v>
                </c:pt>
                <c:pt idx="119">
                  <c:v>3.3399999999999999E-2</c:v>
                </c:pt>
                <c:pt idx="120">
                  <c:v>-2.87E-2</c:v>
                </c:pt>
                <c:pt idx="121">
                  <c:v>-6.0400000000000002E-2</c:v>
                </c:pt>
                <c:pt idx="122">
                  <c:v>2.9999999999999997E-4</c:v>
                </c:pt>
                <c:pt idx="123">
                  <c:v>-8.0000000000000002E-3</c:v>
                </c:pt>
                <c:pt idx="124">
                  <c:v>3.6499999999999998E-2</c:v>
                </c:pt>
                <c:pt idx="125">
                  <c:v>6.1000000000000004E-3</c:v>
                </c:pt>
                <c:pt idx="126">
                  <c:v>-3.8300000000000001E-2</c:v>
                </c:pt>
                <c:pt idx="127">
                  <c:v>-4.3099999999999999E-2</c:v>
                </c:pt>
                <c:pt idx="128">
                  <c:v>1.14E-2</c:v>
                </c:pt>
                <c:pt idx="129">
                  <c:v>-3.4799999999999998E-2</c:v>
                </c:pt>
                <c:pt idx="130">
                  <c:v>-4.4999999999999997E-3</c:v>
                </c:pt>
                <c:pt idx="131">
                  <c:v>-9.4000000000000004E-3</c:v>
                </c:pt>
                <c:pt idx="132">
                  <c:v>4.4499999999999998E-2</c:v>
                </c:pt>
                <c:pt idx="133">
                  <c:v>2.5399999999999999E-2</c:v>
                </c:pt>
                <c:pt idx="134">
                  <c:v>-2.0999999999999999E-3</c:v>
                </c:pt>
                <c:pt idx="135">
                  <c:v>3.4799999999999998E-2</c:v>
                </c:pt>
                <c:pt idx="136">
                  <c:v>2.3199999999999998E-2</c:v>
                </c:pt>
                <c:pt idx="137">
                  <c:v>-6.0000000000000001E-3</c:v>
                </c:pt>
                <c:pt idx="138">
                  <c:v>-5.4800000000000001E-2</c:v>
                </c:pt>
                <c:pt idx="139">
                  <c:v>-3.3999999999999998E-3</c:v>
                </c:pt>
                <c:pt idx="140">
                  <c:v>-6.7999999999999996E-3</c:v>
                </c:pt>
                <c:pt idx="141">
                  <c:v>-4.5499999999999999E-2</c:v>
                </c:pt>
                <c:pt idx="142">
                  <c:v>-6.4999999999999997E-3</c:v>
                </c:pt>
                <c:pt idx="143">
                  <c:v>2.6700000000000002E-2</c:v>
                </c:pt>
                <c:pt idx="144">
                  <c:v>2.24E-2</c:v>
                </c:pt>
                <c:pt idx="145">
                  <c:v>2.7199999999999998E-2</c:v>
                </c:pt>
                <c:pt idx="146">
                  <c:v>6.7000000000000002E-3</c:v>
                </c:pt>
                <c:pt idx="147">
                  <c:v>2.1299999999999999E-2</c:v>
                </c:pt>
                <c:pt idx="148">
                  <c:v>2.12E-2</c:v>
                </c:pt>
                <c:pt idx="149">
                  <c:v>-8.8000000000000005E-3</c:v>
                </c:pt>
                <c:pt idx="150">
                  <c:v>3.1199999999999999E-2</c:v>
                </c:pt>
                <c:pt idx="151">
                  <c:v>-1.49E-2</c:v>
                </c:pt>
                <c:pt idx="152">
                  <c:v>1.3299999999999999E-2</c:v>
                </c:pt>
                <c:pt idx="153">
                  <c:v>-4.4999999999999997E-3</c:v>
                </c:pt>
                <c:pt idx="154">
                  <c:v>1.03E-2</c:v>
                </c:pt>
                <c:pt idx="155">
                  <c:v>9.2999999999999992E-3</c:v>
                </c:pt>
                <c:pt idx="156">
                  <c:v>2.3300000000000001E-2</c:v>
                </c:pt>
                <c:pt idx="157">
                  <c:v>1.78E-2</c:v>
                </c:pt>
                <c:pt idx="158">
                  <c:v>1.0999999999999999E-2</c:v>
                </c:pt>
                <c:pt idx="159">
                  <c:v>3.7199999999999997E-2</c:v>
                </c:pt>
                <c:pt idx="160">
                  <c:v>1.77E-2</c:v>
                </c:pt>
                <c:pt idx="161">
                  <c:v>3.3599999999999998E-2</c:v>
                </c:pt>
                <c:pt idx="162">
                  <c:v>3.2399999999999998E-2</c:v>
                </c:pt>
                <c:pt idx="163">
                  <c:v>9.5999999999999992E-3</c:v>
                </c:pt>
                <c:pt idx="164">
                  <c:v>1.1999999999999999E-3</c:v>
                </c:pt>
                <c:pt idx="165">
                  <c:v>-5.2400000000000002E-2</c:v>
                </c:pt>
                <c:pt idx="166">
                  <c:v>-3.4099999999999998E-2</c:v>
                </c:pt>
                <c:pt idx="167">
                  <c:v>1E-3</c:v>
                </c:pt>
                <c:pt idx="168">
                  <c:v>3.27E-2</c:v>
                </c:pt>
                <c:pt idx="169">
                  <c:v>1.84E-2</c:v>
                </c:pt>
                <c:pt idx="170">
                  <c:v>2.6800000000000001E-2</c:v>
                </c:pt>
                <c:pt idx="171">
                  <c:v>7.7000000000000002E-3</c:v>
                </c:pt>
                <c:pt idx="172">
                  <c:v>-2.3599999999999999E-2</c:v>
                </c:pt>
                <c:pt idx="173">
                  <c:v>2.41E-2</c:v>
                </c:pt>
                <c:pt idx="174">
                  <c:v>1.04E-2</c:v>
                </c:pt>
                <c:pt idx="175">
                  <c:v>8.5000000000000006E-3</c:v>
                </c:pt>
                <c:pt idx="176">
                  <c:v>7.8200000000000006E-2</c:v>
                </c:pt>
                <c:pt idx="177">
                  <c:v>-2.5000000000000001E-3</c:v>
                </c:pt>
                <c:pt idx="178">
                  <c:v>3.5999999999999997E-2</c:v>
                </c:pt>
                <c:pt idx="179">
                  <c:v>1.26E-2</c:v>
                </c:pt>
                <c:pt idx="180">
                  <c:v>-6.8999999999999999E-3</c:v>
                </c:pt>
                <c:pt idx="181">
                  <c:v>7.7999999999999996E-3</c:v>
                </c:pt>
                <c:pt idx="182">
                  <c:v>-2.0000000000000001E-4</c:v>
                </c:pt>
                <c:pt idx="183">
                  <c:v>3.6999999999999998E-2</c:v>
                </c:pt>
                <c:pt idx="184">
                  <c:v>1.0200000000000001E-2</c:v>
                </c:pt>
                <c:pt idx="185">
                  <c:v>-4.0000000000000001E-3</c:v>
                </c:pt>
                <c:pt idx="186">
                  <c:v>-1.0800000000000001E-2</c:v>
                </c:pt>
                <c:pt idx="187">
                  <c:v>-2.4799999999999999E-2</c:v>
                </c:pt>
                <c:pt idx="188">
                  <c:v>-1.83E-2</c:v>
                </c:pt>
                <c:pt idx="189">
                  <c:v>2.8799999999999999E-2</c:v>
                </c:pt>
                <c:pt idx="190">
                  <c:v>-2.0000000000000001E-4</c:v>
                </c:pt>
                <c:pt idx="191">
                  <c:v>-3.0800000000000001E-2</c:v>
                </c:pt>
                <c:pt idx="192">
                  <c:v>-6.9999999999999999E-4</c:v>
                </c:pt>
                <c:pt idx="193">
                  <c:v>-3.2399999999999998E-2</c:v>
                </c:pt>
                <c:pt idx="194">
                  <c:v>-6.8999999999999999E-3</c:v>
                </c:pt>
                <c:pt idx="195">
                  <c:v>-5.9900000000000002E-2</c:v>
                </c:pt>
                <c:pt idx="196">
                  <c:v>2.8799999999999999E-2</c:v>
                </c:pt>
                <c:pt idx="197">
                  <c:v>4.4999999999999997E-3</c:v>
                </c:pt>
                <c:pt idx="198">
                  <c:v>3.3E-3</c:v>
                </c:pt>
                <c:pt idx="199">
                  <c:v>3.4799999999999998E-2</c:v>
                </c:pt>
                <c:pt idx="200">
                  <c:v>-1.37E-2</c:v>
                </c:pt>
                <c:pt idx="201">
                  <c:v>3.9399999999999998E-2</c:v>
                </c:pt>
                <c:pt idx="202">
                  <c:v>6.6E-3</c:v>
                </c:pt>
                <c:pt idx="203">
                  <c:v>1.7000000000000001E-2</c:v>
                </c:pt>
                <c:pt idx="204">
                  <c:v>-3.8999999999999998E-3</c:v>
                </c:pt>
                <c:pt idx="205">
                  <c:v>1.23E-2</c:v>
                </c:pt>
                <c:pt idx="206">
                  <c:v>1E-4</c:v>
                </c:pt>
                <c:pt idx="207">
                  <c:v>1.6999999999999999E-3</c:v>
                </c:pt>
                <c:pt idx="208">
                  <c:v>1.43E-2</c:v>
                </c:pt>
                <c:pt idx="209">
                  <c:v>3.1199999999999999E-2</c:v>
                </c:pt>
                <c:pt idx="210">
                  <c:v>-9.2999999999999992E-3</c:v>
                </c:pt>
                <c:pt idx="211">
                  <c:v>1.5599999999999999E-2</c:v>
                </c:pt>
                <c:pt idx="212">
                  <c:v>1.77E-2</c:v>
                </c:pt>
                <c:pt idx="213">
                  <c:v>1.1599999999999999E-2</c:v>
                </c:pt>
                <c:pt idx="214">
                  <c:v>3.0999999999999999E-3</c:v>
                </c:pt>
                <c:pt idx="215">
                  <c:v>5.7000000000000002E-3</c:v>
                </c:pt>
                <c:pt idx="216">
                  <c:v>6.7000000000000002E-3</c:v>
                </c:pt>
                <c:pt idx="217">
                  <c:v>3.0000000000000001E-3</c:v>
                </c:pt>
                <c:pt idx="218">
                  <c:v>-3.5000000000000001E-3</c:v>
                </c:pt>
                <c:pt idx="219">
                  <c:v>2.2000000000000001E-3</c:v>
                </c:pt>
                <c:pt idx="220">
                  <c:v>-2E-3</c:v>
                </c:pt>
                <c:pt idx="221">
                  <c:v>-2.7300000000000001E-2</c:v>
                </c:pt>
                <c:pt idx="222">
                  <c:v>1.24E-2</c:v>
                </c:pt>
                <c:pt idx="223">
                  <c:v>-5.7000000000000002E-3</c:v>
                </c:pt>
                <c:pt idx="224">
                  <c:v>4.48E-2</c:v>
                </c:pt>
                <c:pt idx="225">
                  <c:v>-1.9E-3</c:v>
                </c:pt>
                <c:pt idx="226">
                  <c:v>2.1899999999999999E-2</c:v>
                </c:pt>
                <c:pt idx="227">
                  <c:v>4.3E-3</c:v>
                </c:pt>
                <c:pt idx="228">
                  <c:v>-8.6E-3</c:v>
                </c:pt>
                <c:pt idx="229">
                  <c:v>-3.1E-2</c:v>
                </c:pt>
                <c:pt idx="230">
                  <c:v>1.8499999999999999E-2</c:v>
                </c:pt>
                <c:pt idx="231">
                  <c:v>-3.5299999999999998E-2</c:v>
                </c:pt>
                <c:pt idx="232">
                  <c:v>1.2200000000000001E-2</c:v>
                </c:pt>
                <c:pt idx="233">
                  <c:v>-1.3899999999999999E-2</c:v>
                </c:pt>
                <c:pt idx="234">
                  <c:v>2.58E-2</c:v>
                </c:pt>
                <c:pt idx="235">
                  <c:v>8.2000000000000007E-3</c:v>
                </c:pt>
                <c:pt idx="236">
                  <c:v>8.3000000000000001E-3</c:v>
                </c:pt>
                <c:pt idx="237">
                  <c:v>3.3E-3</c:v>
                </c:pt>
                <c:pt idx="238">
                  <c:v>-2.6100000000000002E-2</c:v>
                </c:pt>
                <c:pt idx="239">
                  <c:v>-3.3300000000000003E-2</c:v>
                </c:pt>
                <c:pt idx="240">
                  <c:v>3.5099999999999999E-2</c:v>
                </c:pt>
                <c:pt idx="241">
                  <c:v>5.0000000000000001E-4</c:v>
                </c:pt>
                <c:pt idx="242">
                  <c:v>-1E-3</c:v>
                </c:pt>
                <c:pt idx="243">
                  <c:v>8.3000000000000001E-3</c:v>
                </c:pt>
                <c:pt idx="244">
                  <c:v>-1.66E-2</c:v>
                </c:pt>
                <c:pt idx="245">
                  <c:v>4.1999999999999997E-3</c:v>
                </c:pt>
                <c:pt idx="246">
                  <c:v>3.0499999999999999E-2</c:v>
                </c:pt>
                <c:pt idx="247">
                  <c:v>-2.1000000000000001E-2</c:v>
                </c:pt>
                <c:pt idx="248">
                  <c:v>-1.47E-2</c:v>
                </c:pt>
                <c:pt idx="249">
                  <c:v>1.89E-2</c:v>
                </c:pt>
                <c:pt idx="250">
                  <c:v>-3.6900000000000002E-2</c:v>
                </c:pt>
                <c:pt idx="251">
                  <c:v>2.0000000000000001E-4</c:v>
                </c:pt>
                <c:pt idx="252">
                  <c:v>1.6299999999999999E-2</c:v>
                </c:pt>
                <c:pt idx="253">
                  <c:v>-6.6E-3</c:v>
                </c:pt>
                <c:pt idx="254">
                  <c:v>-1.6000000000000001E-3</c:v>
                </c:pt>
                <c:pt idx="255">
                  <c:v>-5.7999999999999996E-3</c:v>
                </c:pt>
                <c:pt idx="256">
                  <c:v>4.5199999999999997E-2</c:v>
                </c:pt>
                <c:pt idx="257">
                  <c:v>8.8000000000000005E-3</c:v>
                </c:pt>
                <c:pt idx="258">
                  <c:v>-1.14E-2</c:v>
                </c:pt>
                <c:pt idx="259">
                  <c:v>3.3999999999999998E-3</c:v>
                </c:pt>
                <c:pt idx="260">
                  <c:v>2.0199999999999999E-2</c:v>
                </c:pt>
              </c:numCache>
            </c:numRef>
          </c:xVal>
          <c:yVal>
            <c:numRef>
              <c:f>'Beta 5 Year'!$B$25:$B$285</c:f>
              <c:numCache>
                <c:formatCode>General</c:formatCode>
                <c:ptCount val="261"/>
                <c:pt idx="0">
                  <c:v>5.4382219008974704E-3</c:v>
                </c:pt>
                <c:pt idx="1">
                  <c:v>9.7105573051633996E-3</c:v>
                </c:pt>
                <c:pt idx="2">
                  <c:v>1.18744674449864E-2</c:v>
                </c:pt>
                <c:pt idx="3">
                  <c:v>-1.8753183764816099E-2</c:v>
                </c:pt>
                <c:pt idx="4">
                  <c:v>3.32979663645455E-3</c:v>
                </c:pt>
                <c:pt idx="5">
                  <c:v>1.0265406058964199E-2</c:v>
                </c:pt>
                <c:pt idx="6">
                  <c:v>-1.42589088590299E-2</c:v>
                </c:pt>
                <c:pt idx="7">
                  <c:v>-0.103977952348614</c:v>
                </c:pt>
                <c:pt idx="8">
                  <c:v>-2.4079731801303499E-2</c:v>
                </c:pt>
                <c:pt idx="9">
                  <c:v>-0.10425537672551501</c:v>
                </c:pt>
                <c:pt idx="10">
                  <c:v>6.4924345331189397E-3</c:v>
                </c:pt>
                <c:pt idx="11">
                  <c:v>-9.4253876781138395E-4</c:v>
                </c:pt>
                <c:pt idx="12">
                  <c:v>-6.8794204334796296E-3</c:v>
                </c:pt>
                <c:pt idx="13">
                  <c:v>7.1631678229329407E-2</c:v>
                </c:pt>
                <c:pt idx="14">
                  <c:v>2.83043275803385E-3</c:v>
                </c:pt>
                <c:pt idx="15">
                  <c:v>2.9968873841740799E-3</c:v>
                </c:pt>
                <c:pt idx="16">
                  <c:v>2.33043517732823E-2</c:v>
                </c:pt>
                <c:pt idx="17">
                  <c:v>-1.8031880384875101E-2</c:v>
                </c:pt>
                <c:pt idx="18">
                  <c:v>-6.6019960565792402E-3</c:v>
                </c:pt>
                <c:pt idx="19">
                  <c:v>1.8255228113695302E-2</c:v>
                </c:pt>
                <c:pt idx="20">
                  <c:v>4.2835027907069403E-2</c:v>
                </c:pt>
                <c:pt idx="21">
                  <c:v>2.9574142691231001E-2</c:v>
                </c:pt>
                <c:pt idx="22">
                  <c:v>-2.64100965672667E-2</c:v>
                </c:pt>
                <c:pt idx="23">
                  <c:v>2.18062601380202E-2</c:v>
                </c:pt>
                <c:pt idx="24">
                  <c:v>-1.85867291386759E-2</c:v>
                </c:pt>
                <c:pt idx="25">
                  <c:v>1.7700379359894498E-2</c:v>
                </c:pt>
                <c:pt idx="26">
                  <c:v>-1.8198335011015299E-2</c:v>
                </c:pt>
                <c:pt idx="27">
                  <c:v>1.0764769937384899E-2</c:v>
                </c:pt>
                <c:pt idx="28">
                  <c:v>-2.8845094061140798E-3</c:v>
                </c:pt>
                <c:pt idx="29">
                  <c:v>-1.12627255885057E-2</c:v>
                </c:pt>
                <c:pt idx="30">
                  <c:v>1.6812621353813301E-2</c:v>
                </c:pt>
                <c:pt idx="31">
                  <c:v>4.8833731470967002E-3</c:v>
                </c:pt>
                <c:pt idx="32">
                  <c:v>2.3865537549932398E-3</c:v>
                </c:pt>
                <c:pt idx="33">
                  <c:v>4.3840092686760097E-3</c:v>
                </c:pt>
                <c:pt idx="34">
                  <c:v>7.5466471653404003E-3</c:v>
                </c:pt>
                <c:pt idx="35">
                  <c:v>5.0006799207061802E-4</c:v>
                </c:pt>
                <c:pt idx="36">
                  <c:v>2.2971442521001799E-2</c:v>
                </c:pt>
                <c:pt idx="37">
                  <c:v>-3.0904371473052999E-2</c:v>
                </c:pt>
                <c:pt idx="38">
                  <c:v>1.0320890934344301E-2</c:v>
                </c:pt>
                <c:pt idx="39">
                  <c:v>2.61895652930463E-2</c:v>
                </c:pt>
                <c:pt idx="40">
                  <c:v>-2.3302943545982401E-2</c:v>
                </c:pt>
                <c:pt idx="41">
                  <c:v>-3.7167825368152399E-3</c:v>
                </c:pt>
                <c:pt idx="42">
                  <c:v>-3.5454131254219298E-2</c:v>
                </c:pt>
                <c:pt idx="43">
                  <c:v>2.1473350885739699E-2</c:v>
                </c:pt>
                <c:pt idx="44">
                  <c:v>6.7081918448163094E-2</c:v>
                </c:pt>
                <c:pt idx="45">
                  <c:v>4.0393693390346E-2</c:v>
                </c:pt>
                <c:pt idx="46">
                  <c:v>3.2792265463275398E-2</c:v>
                </c:pt>
                <c:pt idx="47">
                  <c:v>3.9727874885785101E-2</c:v>
                </c:pt>
                <c:pt idx="48">
                  <c:v>-8.3156901705123E-4</c:v>
                </c:pt>
                <c:pt idx="49">
                  <c:v>1.8310712989075301E-2</c:v>
                </c:pt>
                <c:pt idx="50">
                  <c:v>-5.3813287982175497E-3</c:v>
                </c:pt>
                <c:pt idx="51">
                  <c:v>1.84771676152156E-2</c:v>
                </c:pt>
                <c:pt idx="52">
                  <c:v>1.03763758097243E-2</c:v>
                </c:pt>
                <c:pt idx="53">
                  <c:v>-1.6422818998852898E-2</c:v>
                </c:pt>
                <c:pt idx="54">
                  <c:v>-4.4935707921363102E-3</c:v>
                </c:pt>
                <c:pt idx="55">
                  <c:v>-1.76989711325947E-2</c:v>
                </c:pt>
                <c:pt idx="56">
                  <c:v>1.45377414632301E-2</c:v>
                </c:pt>
                <c:pt idx="57">
                  <c:v>1.16525279434661E-2</c:v>
                </c:pt>
                <c:pt idx="58">
                  <c:v>7.1582530376798599E-3</c:v>
                </c:pt>
                <c:pt idx="59">
                  <c:v>1.10976791896653E-2</c:v>
                </c:pt>
                <c:pt idx="60">
                  <c:v>2.61895652930463E-2</c:v>
                </c:pt>
                <c:pt idx="61">
                  <c:v>1.99752592504777E-2</c:v>
                </c:pt>
                <c:pt idx="62">
                  <c:v>-7.6007238134206297E-3</c:v>
                </c:pt>
                <c:pt idx="63">
                  <c:v>1.5813893596971901E-2</c:v>
                </c:pt>
                <c:pt idx="64">
                  <c:v>1.8588137365975699E-2</c:v>
                </c:pt>
                <c:pt idx="65">
                  <c:v>1.3760953207909E-2</c:v>
                </c:pt>
                <c:pt idx="66">
                  <c:v>7.6576169161005504E-3</c:v>
                </c:pt>
                <c:pt idx="67">
                  <c:v>3.9401302656353896E-3</c:v>
                </c:pt>
                <c:pt idx="68">
                  <c:v>9.9879816820637908E-3</c:v>
                </c:pt>
                <c:pt idx="69">
                  <c:v>-4.8264800444167803E-3</c:v>
                </c:pt>
                <c:pt idx="70">
                  <c:v>9.5441026790231698E-3</c:v>
                </c:pt>
                <c:pt idx="71">
                  <c:v>-2.0861609029259001E-2</c:v>
                </c:pt>
                <c:pt idx="72">
                  <c:v>1.6146802849252299E-2</c:v>
                </c:pt>
                <c:pt idx="73">
                  <c:v>1.20964069465067E-2</c:v>
                </c:pt>
                <c:pt idx="74">
                  <c:v>1.8255228113695302E-2</c:v>
                </c:pt>
                <c:pt idx="75">
                  <c:v>-8.8213910717823193E-3</c:v>
                </c:pt>
                <c:pt idx="76">
                  <c:v>4.6614336455763896E-3</c:v>
                </c:pt>
                <c:pt idx="77">
                  <c:v>-9.5426944517233193E-3</c:v>
                </c:pt>
                <c:pt idx="78">
                  <c:v>-4.43808591675624E-3</c:v>
                </c:pt>
                <c:pt idx="79">
                  <c:v>-1.3864177708520001E-3</c:v>
                </c:pt>
                <c:pt idx="80">
                  <c:v>1.83170500119247E-3</c:v>
                </c:pt>
                <c:pt idx="81">
                  <c:v>1.8643622241355799E-2</c:v>
                </c:pt>
                <c:pt idx="82">
                  <c:v>6.6034042838790897E-3</c:v>
                </c:pt>
                <c:pt idx="83">
                  <c:v>4.4394941440560904E-3</c:v>
                </c:pt>
                <c:pt idx="84">
                  <c:v>-4.2161464152359303E-3</c:v>
                </c:pt>
                <c:pt idx="85">
                  <c:v>2.2971442521001799E-2</c:v>
                </c:pt>
                <c:pt idx="86">
                  <c:v>3.7181907641150899E-3</c:v>
                </c:pt>
                <c:pt idx="87">
                  <c:v>-5.1039044213171602E-3</c:v>
                </c:pt>
                <c:pt idx="88">
                  <c:v>1.0542830435864599E-2</c:v>
                </c:pt>
                <c:pt idx="89">
                  <c:v>-2.0806124153878999E-2</c:v>
                </c:pt>
                <c:pt idx="90">
                  <c:v>2.0536445027127702E-3</c:v>
                </c:pt>
                <c:pt idx="91">
                  <c:v>1.70345608553336E-2</c:v>
                </c:pt>
                <c:pt idx="92">
                  <c:v>4.6614336455763896E-3</c:v>
                </c:pt>
                <c:pt idx="93">
                  <c:v>9.7105573051633996E-3</c:v>
                </c:pt>
                <c:pt idx="94">
                  <c:v>-9.4253876781138395E-4</c:v>
                </c:pt>
                <c:pt idx="95">
                  <c:v>8.7673144237020995E-3</c:v>
                </c:pt>
                <c:pt idx="96">
                  <c:v>7.6576169161005504E-3</c:v>
                </c:pt>
                <c:pt idx="97">
                  <c:v>3.9956151410154702E-3</c:v>
                </c:pt>
                <c:pt idx="98">
                  <c:v>-3.0682431971532701E-2</c:v>
                </c:pt>
                <c:pt idx="99">
                  <c:v>1.64242272261527E-2</c:v>
                </c:pt>
                <c:pt idx="100">
                  <c:v>1.55919540954516E-2</c:v>
                </c:pt>
                <c:pt idx="101">
                  <c:v>-3.5503279106750001E-3</c:v>
                </c:pt>
                <c:pt idx="102">
                  <c:v>5.3272521501373203E-3</c:v>
                </c:pt>
                <c:pt idx="103">
                  <c:v>4.9388580224767799E-3</c:v>
                </c:pt>
                <c:pt idx="104">
                  <c:v>1.1486073317325899E-2</c:v>
                </c:pt>
                <c:pt idx="105">
                  <c:v>2.9574142691231001E-2</c:v>
                </c:pt>
                <c:pt idx="106">
                  <c:v>-7.2059926629107702E-4</c:v>
                </c:pt>
                <c:pt idx="107">
                  <c:v>-7.2678145611401604E-3</c:v>
                </c:pt>
                <c:pt idx="108">
                  <c:v>1.5702923846211699E-2</c:v>
                </c:pt>
                <c:pt idx="109">
                  <c:v>1.8643622241355799E-2</c:v>
                </c:pt>
                <c:pt idx="110">
                  <c:v>-5.3258439228374699E-3</c:v>
                </c:pt>
                <c:pt idx="111">
                  <c:v>-1.33156659775686E-2</c:v>
                </c:pt>
                <c:pt idx="112">
                  <c:v>-5.9811991546073098E-2</c:v>
                </c:pt>
                <c:pt idx="113">
                  <c:v>7.5466471653404003E-3</c:v>
                </c:pt>
                <c:pt idx="114">
                  <c:v>2.67444140468471E-2</c:v>
                </c:pt>
                <c:pt idx="115">
                  <c:v>-9.3762398255830895E-3</c:v>
                </c:pt>
                <c:pt idx="116">
                  <c:v>3.4623266350817999E-2</c:v>
                </c:pt>
                <c:pt idx="117">
                  <c:v>1.3039649827968E-2</c:v>
                </c:pt>
                <c:pt idx="118">
                  <c:v>1.10976791896653E-2</c:v>
                </c:pt>
                <c:pt idx="119">
                  <c:v>2.18617450134003E-2</c:v>
                </c:pt>
                <c:pt idx="120">
                  <c:v>-1.25943625976276E-2</c:v>
                </c:pt>
                <c:pt idx="121">
                  <c:v>-3.0183068093112001E-2</c:v>
                </c:pt>
                <c:pt idx="122">
                  <c:v>3.4962512625947798E-3</c:v>
                </c:pt>
                <c:pt idx="123">
                  <c:v>-1.10899339395162E-3</c:v>
                </c:pt>
                <c:pt idx="124">
                  <c:v>2.3581776150182698E-2</c:v>
                </c:pt>
                <c:pt idx="125">
                  <c:v>6.7143740346392398E-3</c:v>
                </c:pt>
                <c:pt idx="126">
                  <c:v>-1.7920910634114998E-2</c:v>
                </c:pt>
                <c:pt idx="127">
                  <c:v>-2.05841846523587E-2</c:v>
                </c:pt>
                <c:pt idx="128">
                  <c:v>9.6550724297833294E-3</c:v>
                </c:pt>
                <c:pt idx="129">
                  <c:v>-1.5978939995812302E-2</c:v>
                </c:pt>
                <c:pt idx="130">
                  <c:v>8.3297724435108097E-4</c:v>
                </c:pt>
                <c:pt idx="131">
                  <c:v>-1.8857816492726901E-3</c:v>
                </c:pt>
                <c:pt idx="132">
                  <c:v>2.8020566180588801E-2</c:v>
                </c:pt>
                <c:pt idx="133">
                  <c:v>1.74229549829941E-2</c:v>
                </c:pt>
                <c:pt idx="134">
                  <c:v>2.1646142534729302E-3</c:v>
                </c:pt>
                <c:pt idx="135">
                  <c:v>2.2638533268721402E-2</c:v>
                </c:pt>
                <c:pt idx="136">
                  <c:v>1.6202287724632398E-2</c:v>
                </c:pt>
                <c:pt idx="137">
                  <c:v>7.0411364992478297E-7</c:v>
                </c:pt>
                <c:pt idx="138">
                  <c:v>-2.7075915071827699E-2</c:v>
                </c:pt>
                <c:pt idx="139">
                  <c:v>1.4433108735319299E-3</c:v>
                </c:pt>
                <c:pt idx="140">
                  <c:v>-4.4317488939069099E-4</c:v>
                </c:pt>
                <c:pt idx="141">
                  <c:v>-2.1915821661480501E-2</c:v>
                </c:pt>
                <c:pt idx="142">
                  <c:v>-2.7672026325046E-4</c:v>
                </c:pt>
                <c:pt idx="143">
                  <c:v>1.8144258362935099E-2</c:v>
                </c:pt>
                <c:pt idx="144">
                  <c:v>1.5758408721591802E-2</c:v>
                </c:pt>
                <c:pt idx="145">
                  <c:v>1.84216827398355E-2</c:v>
                </c:pt>
                <c:pt idx="146">
                  <c:v>7.0472832869197099E-3</c:v>
                </c:pt>
                <c:pt idx="147">
                  <c:v>1.5148075092410999E-2</c:v>
                </c:pt>
                <c:pt idx="148">
                  <c:v>1.50925902170309E-2</c:v>
                </c:pt>
                <c:pt idx="149">
                  <c:v>-1.55287239699223E-3</c:v>
                </c:pt>
                <c:pt idx="150">
                  <c:v>2.0641077755038598E-2</c:v>
                </c:pt>
                <c:pt idx="151">
                  <c:v>-4.9374497951769304E-3</c:v>
                </c:pt>
                <c:pt idx="152">
                  <c:v>1.07092850620048E-2</c:v>
                </c:pt>
                <c:pt idx="153">
                  <c:v>8.3297724435108097E-4</c:v>
                </c:pt>
                <c:pt idx="154">
                  <c:v>9.0447388006024802E-3</c:v>
                </c:pt>
                <c:pt idx="155">
                  <c:v>8.48989004680171E-3</c:v>
                </c:pt>
                <c:pt idx="156">
                  <c:v>1.6257772600012502E-2</c:v>
                </c:pt>
                <c:pt idx="157">
                  <c:v>1.3206104454108299E-2</c:v>
                </c:pt>
                <c:pt idx="158">
                  <c:v>9.4331329282630206E-3</c:v>
                </c:pt>
                <c:pt idx="159">
                  <c:v>2.3970170277843199E-2</c:v>
                </c:pt>
                <c:pt idx="160">
                  <c:v>1.31506195787282E-2</c:v>
                </c:pt>
                <c:pt idx="161">
                  <c:v>2.1972714764160399E-2</c:v>
                </c:pt>
                <c:pt idx="162">
                  <c:v>2.13068962595995E-2</c:v>
                </c:pt>
                <c:pt idx="163">
                  <c:v>8.6563446729419399E-3</c:v>
                </c:pt>
                <c:pt idx="164">
                  <c:v>3.9956151410154702E-3</c:v>
                </c:pt>
                <c:pt idx="165">
                  <c:v>-2.5744278062705801E-2</c:v>
                </c:pt>
                <c:pt idx="166">
                  <c:v>-1.5590545868151701E-2</c:v>
                </c:pt>
                <c:pt idx="167">
                  <c:v>3.8846453902553202E-3</c:v>
                </c:pt>
                <c:pt idx="168">
                  <c:v>2.1473350885739699E-2</c:v>
                </c:pt>
                <c:pt idx="169">
                  <c:v>1.35390137063887E-2</c:v>
                </c:pt>
                <c:pt idx="170">
                  <c:v>1.8199743238315198E-2</c:v>
                </c:pt>
                <c:pt idx="171">
                  <c:v>7.6021320407204801E-3</c:v>
                </c:pt>
                <c:pt idx="172">
                  <c:v>-9.7646339532436299E-3</c:v>
                </c:pt>
                <c:pt idx="173">
                  <c:v>1.6701651603053098E-2</c:v>
                </c:pt>
                <c:pt idx="174">
                  <c:v>9.1002236759825592E-3</c:v>
                </c:pt>
                <c:pt idx="175">
                  <c:v>8.0460110437610907E-3</c:v>
                </c:pt>
                <c:pt idx="176">
                  <c:v>4.6718969183674797E-2</c:v>
                </c:pt>
                <c:pt idx="177">
                  <c:v>1.9426747519526201E-3</c:v>
                </c:pt>
                <c:pt idx="178">
                  <c:v>2.33043517732823E-2</c:v>
                </c:pt>
                <c:pt idx="179">
                  <c:v>1.0320890934344301E-2</c:v>
                </c:pt>
                <c:pt idx="180">
                  <c:v>-4.9865976477076802E-4</c:v>
                </c:pt>
                <c:pt idx="181">
                  <c:v>7.6576169161005504E-3</c:v>
                </c:pt>
                <c:pt idx="182">
                  <c:v>3.2188268856943899E-3</c:v>
                </c:pt>
                <c:pt idx="183">
                  <c:v>2.3859200527082999E-2</c:v>
                </c:pt>
                <c:pt idx="184">
                  <c:v>8.9892539252223996E-3</c:v>
                </c:pt>
                <c:pt idx="185">
                  <c:v>1.11040162125147E-3</c:v>
                </c:pt>
                <c:pt idx="186">
                  <c:v>-2.6625699045937702E-3</c:v>
                </c:pt>
                <c:pt idx="187">
                  <c:v>-1.04304524578046E-2</c:v>
                </c:pt>
                <c:pt idx="188">
                  <c:v>-6.8239355580995498E-3</c:v>
                </c:pt>
                <c:pt idx="189">
                  <c:v>1.9309440745916701E-2</c:v>
                </c:pt>
                <c:pt idx="190">
                  <c:v>3.2188268856943899E-3</c:v>
                </c:pt>
                <c:pt idx="191">
                  <c:v>-1.37595449806092E-2</c:v>
                </c:pt>
                <c:pt idx="192">
                  <c:v>2.94140250879401E-3</c:v>
                </c:pt>
                <c:pt idx="193">
                  <c:v>-1.46473029866904E-2</c:v>
                </c:pt>
                <c:pt idx="194">
                  <c:v>-4.9865976477076802E-4</c:v>
                </c:pt>
                <c:pt idx="195">
                  <c:v>-2.99056437162116E-2</c:v>
                </c:pt>
                <c:pt idx="196">
                  <c:v>1.9309440745916701E-2</c:v>
                </c:pt>
                <c:pt idx="197">
                  <c:v>5.8266160285580099E-3</c:v>
                </c:pt>
                <c:pt idx="198">
                  <c:v>5.1607975239970896E-3</c:v>
                </c:pt>
                <c:pt idx="199">
                  <c:v>2.2638533268721402E-2</c:v>
                </c:pt>
                <c:pt idx="200">
                  <c:v>-4.2716312906160101E-3</c:v>
                </c:pt>
                <c:pt idx="201">
                  <c:v>2.5190837536204901E-2</c:v>
                </c:pt>
                <c:pt idx="202">
                  <c:v>6.9917984115396301E-3</c:v>
                </c:pt>
                <c:pt idx="203">
                  <c:v>1.27622254510676E-2</c:v>
                </c:pt>
                <c:pt idx="204">
                  <c:v>1.16588649663154E-3</c:v>
                </c:pt>
                <c:pt idx="205">
                  <c:v>1.0154436308204E-2</c:v>
                </c:pt>
                <c:pt idx="206">
                  <c:v>3.3852815118346198E-3</c:v>
                </c:pt>
                <c:pt idx="207">
                  <c:v>4.2730395179158597E-3</c:v>
                </c:pt>
                <c:pt idx="208">
                  <c:v>1.1264133815805599E-2</c:v>
                </c:pt>
                <c:pt idx="209">
                  <c:v>2.0641077755038598E-2</c:v>
                </c:pt>
                <c:pt idx="210">
                  <c:v>-1.83029677389262E-3</c:v>
                </c:pt>
                <c:pt idx="211">
                  <c:v>1.1985437195746599E-2</c:v>
                </c:pt>
                <c:pt idx="212">
                  <c:v>1.31506195787282E-2</c:v>
                </c:pt>
                <c:pt idx="213">
                  <c:v>9.7660421805434803E-3</c:v>
                </c:pt>
                <c:pt idx="214">
                  <c:v>5.04982777323693E-3</c:v>
                </c:pt>
                <c:pt idx="215">
                  <c:v>6.4924345331189397E-3</c:v>
                </c:pt>
                <c:pt idx="216">
                  <c:v>7.0472832869197099E-3</c:v>
                </c:pt>
                <c:pt idx="217">
                  <c:v>4.9943428978568597E-3</c:v>
                </c:pt>
                <c:pt idx="218">
                  <c:v>1.3878259981518501E-3</c:v>
                </c:pt>
                <c:pt idx="219">
                  <c:v>4.5504638948162396E-3</c:v>
                </c:pt>
                <c:pt idx="220">
                  <c:v>2.22009912885301E-3</c:v>
                </c:pt>
                <c:pt idx="221">
                  <c:v>-1.18175743423065E-2</c:v>
                </c:pt>
                <c:pt idx="222">
                  <c:v>1.02099211835841E-2</c:v>
                </c:pt>
                <c:pt idx="223">
                  <c:v>1.6715873979015599E-4</c:v>
                </c:pt>
                <c:pt idx="224">
                  <c:v>2.81870208067291E-2</c:v>
                </c:pt>
                <c:pt idx="225">
                  <c:v>2.2755840042330798E-3</c:v>
                </c:pt>
                <c:pt idx="226">
                  <c:v>1.54809843446914E-2</c:v>
                </c:pt>
                <c:pt idx="227">
                  <c:v>5.7156462777978598E-3</c:v>
                </c:pt>
                <c:pt idx="228">
                  <c:v>-1.4419026462320799E-3</c:v>
                </c:pt>
                <c:pt idx="229">
                  <c:v>-1.3870514731369301E-2</c:v>
                </c:pt>
                <c:pt idx="230">
                  <c:v>1.35944985817688E-2</c:v>
                </c:pt>
                <c:pt idx="231">
                  <c:v>-1.6256364372712599E-2</c:v>
                </c:pt>
                <c:pt idx="232">
                  <c:v>1.00989514328239E-2</c:v>
                </c:pt>
                <c:pt idx="233">
                  <c:v>-4.3826010413761602E-3</c:v>
                </c:pt>
                <c:pt idx="234">
                  <c:v>1.7644894484514399E-2</c:v>
                </c:pt>
                <c:pt idx="235">
                  <c:v>7.8795564176208591E-3</c:v>
                </c:pt>
                <c:pt idx="236">
                  <c:v>7.9350412930009398E-3</c:v>
                </c:pt>
                <c:pt idx="237">
                  <c:v>5.1607975239970896E-3</c:v>
                </c:pt>
                <c:pt idx="238">
                  <c:v>-1.11517558377456E-2</c:v>
                </c:pt>
                <c:pt idx="239">
                  <c:v>-1.51466668651111E-2</c:v>
                </c:pt>
                <c:pt idx="240">
                  <c:v>2.28049878948616E-2</c:v>
                </c:pt>
                <c:pt idx="241">
                  <c:v>3.6072210133549299E-3</c:v>
                </c:pt>
                <c:pt idx="242">
                  <c:v>2.7749478826537802E-3</c:v>
                </c:pt>
                <c:pt idx="243">
                  <c:v>7.9350412930009398E-3</c:v>
                </c:pt>
                <c:pt idx="244">
                  <c:v>-5.8806926766382401E-3</c:v>
                </c:pt>
                <c:pt idx="245">
                  <c:v>5.66016140241778E-3</c:v>
                </c:pt>
                <c:pt idx="246">
                  <c:v>2.0252683627378001E-2</c:v>
                </c:pt>
                <c:pt idx="247">
                  <c:v>-8.3220271933616297E-3</c:v>
                </c:pt>
                <c:pt idx="248">
                  <c:v>-4.8264800444167803E-3</c:v>
                </c:pt>
                <c:pt idx="249">
                  <c:v>1.38164380832891E-2</c:v>
                </c:pt>
                <c:pt idx="250">
                  <c:v>-1.71441223787939E-2</c:v>
                </c:pt>
                <c:pt idx="251">
                  <c:v>3.4407663872147E-3</c:v>
                </c:pt>
                <c:pt idx="252">
                  <c:v>1.23738313234071E-2</c:v>
                </c:pt>
                <c:pt idx="253">
                  <c:v>-3.3220513863053698E-4</c:v>
                </c:pt>
                <c:pt idx="254">
                  <c:v>2.4420386303733101E-3</c:v>
                </c:pt>
                <c:pt idx="255">
                  <c:v>1.11673864410079E-4</c:v>
                </c:pt>
                <c:pt idx="256">
                  <c:v>2.8408960308249399E-2</c:v>
                </c:pt>
                <c:pt idx="257">
                  <c:v>8.2124656699013206E-3</c:v>
                </c:pt>
                <c:pt idx="258">
                  <c:v>-2.9954791568742299E-3</c:v>
                </c:pt>
                <c:pt idx="259">
                  <c:v>5.2162823993771703E-3</c:v>
                </c:pt>
                <c:pt idx="260">
                  <c:v>1.45377414632301E-2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93-4C06-B362-67B766AD7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79715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797152"/>
        <c:crosses val="autoZero"/>
        <c:crossBetween val="midCat"/>
      </c:valAx>
      <c:valAx>
        <c:axId val="99479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6e4882d-f068-4b43-8cdb-e122a4319e9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Histor'!$E$2:$E$54</c:f>
              <c:numCache>
                <c:formatCode>0.00%</c:formatCode>
                <c:ptCount val="53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</c:numCache>
            </c:numRef>
          </c:xVal>
          <c:yVal>
            <c:numRef>
              <c:f>'Kri-Kri Milk Stock Price Histor'!$C$2:$C$54</c:f>
              <c:numCache>
                <c:formatCode>0.00%</c:formatCode>
                <c:ptCount val="53"/>
                <c:pt idx="0">
                  <c:v>-2.5399999999999999E-2</c:v>
                </c:pt>
                <c:pt idx="1">
                  <c:v>2.23E-2</c:v>
                </c:pt>
                <c:pt idx="2">
                  <c:v>2.9100000000000001E-2</c:v>
                </c:pt>
                <c:pt idx="3">
                  <c:v>-4.24E-2</c:v>
                </c:pt>
                <c:pt idx="4">
                  <c:v>7.4000000000000003E-3</c:v>
                </c:pt>
                <c:pt idx="5">
                  <c:v>2.1999999999999999E-2</c:v>
                </c:pt>
                <c:pt idx="6">
                  <c:v>-2.87E-2</c:v>
                </c:pt>
                <c:pt idx="7">
                  <c:v>-0.1439</c:v>
                </c:pt>
                <c:pt idx="8">
                  <c:v>-3.4500000000000003E-2</c:v>
                </c:pt>
                <c:pt idx="9">
                  <c:v>-0.1406</c:v>
                </c:pt>
                <c:pt idx="10">
                  <c:v>0.18179999999999999</c:v>
                </c:pt>
                <c:pt idx="11">
                  <c:v>-4.3999999999999997E-2</c:v>
                </c:pt>
                <c:pt idx="12">
                  <c:v>-1.15E-2</c:v>
                </c:pt>
                <c:pt idx="13">
                  <c:v>6.9800000000000001E-2</c:v>
                </c:pt>
                <c:pt idx="14">
                  <c:v>1.09E-2</c:v>
                </c:pt>
                <c:pt idx="15">
                  <c:v>2.58E-2</c:v>
                </c:pt>
                <c:pt idx="16">
                  <c:v>1.89E-2</c:v>
                </c:pt>
                <c:pt idx="17">
                  <c:v>2.47E-2</c:v>
                </c:pt>
                <c:pt idx="18">
                  <c:v>-1.61E-2</c:v>
                </c:pt>
                <c:pt idx="19">
                  <c:v>3.27E-2</c:v>
                </c:pt>
                <c:pt idx="20">
                  <c:v>5.5300000000000002E-2</c:v>
                </c:pt>
                <c:pt idx="21">
                  <c:v>0.1236</c:v>
                </c:pt>
                <c:pt idx="22">
                  <c:v>-8.6699999999999999E-2</c:v>
                </c:pt>
                <c:pt idx="23">
                  <c:v>-1.46E-2</c:v>
                </c:pt>
                <c:pt idx="24">
                  <c:v>5.9299999999999999E-2</c:v>
                </c:pt>
                <c:pt idx="25">
                  <c:v>1.7500000000000002E-2</c:v>
                </c:pt>
                <c:pt idx="26">
                  <c:v>1.37E-2</c:v>
                </c:pt>
                <c:pt idx="27">
                  <c:v>6.7999999999999996E-3</c:v>
                </c:pt>
                <c:pt idx="28">
                  <c:v>-2.0199999999999999E-2</c:v>
                </c:pt>
                <c:pt idx="29">
                  <c:v>-1.37E-2</c:v>
                </c:pt>
                <c:pt idx="30">
                  <c:v>8.7099999999999997E-2</c:v>
                </c:pt>
                <c:pt idx="31">
                  <c:v>-5.45E-2</c:v>
                </c:pt>
                <c:pt idx="32">
                  <c:v>0</c:v>
                </c:pt>
                <c:pt idx="33">
                  <c:v>6.7999999999999996E-3</c:v>
                </c:pt>
                <c:pt idx="34">
                  <c:v>6.7000000000000002E-3</c:v>
                </c:pt>
                <c:pt idx="35">
                  <c:v>-3.0099999999999998E-2</c:v>
                </c:pt>
                <c:pt idx="36">
                  <c:v>4.48E-2</c:v>
                </c:pt>
                <c:pt idx="37">
                  <c:v>-6.6E-3</c:v>
                </c:pt>
                <c:pt idx="38">
                  <c:v>2.3300000000000001E-2</c:v>
                </c:pt>
                <c:pt idx="39">
                  <c:v>6.4899999999999999E-2</c:v>
                </c:pt>
                <c:pt idx="40">
                  <c:v>-3.9600000000000003E-2</c:v>
                </c:pt>
                <c:pt idx="41">
                  <c:v>6.3E-3</c:v>
                </c:pt>
                <c:pt idx="42">
                  <c:v>-2.52E-2</c:v>
                </c:pt>
                <c:pt idx="43">
                  <c:v>1.29E-2</c:v>
                </c:pt>
                <c:pt idx="44">
                  <c:v>6.4000000000000003E-3</c:v>
                </c:pt>
                <c:pt idx="45">
                  <c:v>1.9E-2</c:v>
                </c:pt>
                <c:pt idx="46">
                  <c:v>0</c:v>
                </c:pt>
                <c:pt idx="47">
                  <c:v>-3.0999999999999999E-3</c:v>
                </c:pt>
                <c:pt idx="48">
                  <c:v>0</c:v>
                </c:pt>
                <c:pt idx="49">
                  <c:v>4.0599999999999997E-2</c:v>
                </c:pt>
                <c:pt idx="50">
                  <c:v>-3.3000000000000002E-2</c:v>
                </c:pt>
                <c:pt idx="51">
                  <c:v>1.55E-2</c:v>
                </c:pt>
                <c:pt idx="52">
                  <c:v>9.1999999999999998E-3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46-48C8-9219-B5EE25EED369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Histor'!$E$2:$E$54</c:f>
              <c:numCache>
                <c:formatCode>0.00%</c:formatCode>
                <c:ptCount val="53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</c:numCache>
            </c:numRef>
          </c:xVal>
          <c:yVal>
            <c:numRef>
              <c:f>'Beta 2020'!$B$25:$B$77</c:f>
              <c:numCache>
                <c:formatCode>General</c:formatCode>
                <c:ptCount val="53"/>
                <c:pt idx="0">
                  <c:v>7.4707800977467298E-3</c:v>
                </c:pt>
                <c:pt idx="1">
                  <c:v>1.22627053672002E-2</c:v>
                </c:pt>
                <c:pt idx="2">
                  <c:v>1.46897843997805E-2</c:v>
                </c:pt>
                <c:pt idx="3">
                  <c:v>-1.9662718830587199E-2</c:v>
                </c:pt>
                <c:pt idx="4">
                  <c:v>5.1059338608735799E-3</c:v>
                </c:pt>
                <c:pt idx="5">
                  <c:v>1.2885033324272099E-2</c:v>
                </c:pt>
                <c:pt idx="6">
                  <c:v>-1.4621862378305E-2</c:v>
                </c:pt>
                <c:pt idx="7">
                  <c:v>-0.115252293036828</c:v>
                </c:pt>
                <c:pt idx="8">
                  <c:v>-2.5637067218477302E-2</c:v>
                </c:pt>
                <c:pt idx="9">
                  <c:v>-0.115563457015364</c:v>
                </c:pt>
                <c:pt idx="10">
                  <c:v>8.6532032161833004E-3</c:v>
                </c:pt>
                <c:pt idx="11">
                  <c:v>3.14008591420112E-4</c:v>
                </c:pt>
                <c:pt idx="12">
                  <c:v>-6.3449005492490001E-3</c:v>
                </c:pt>
                <c:pt idx="13">
                  <c:v>8.1714505376421998E-2</c:v>
                </c:pt>
                <c:pt idx="14">
                  <c:v>4.54583869950889E-3</c:v>
                </c:pt>
                <c:pt idx="15">
                  <c:v>4.73253708663046E-3</c:v>
                </c:pt>
                <c:pt idx="16">
                  <c:v>2.75097403154612E-2</c:v>
                </c:pt>
                <c:pt idx="17">
                  <c:v>-1.8853692486393799E-2</c:v>
                </c:pt>
                <c:pt idx="18">
                  <c:v>-6.0337365707130598E-3</c:v>
                </c:pt>
                <c:pt idx="19">
                  <c:v>2.1846555906107099E-2</c:v>
                </c:pt>
                <c:pt idx="20">
                  <c:v>4.9415684404391397E-2</c:v>
                </c:pt>
                <c:pt idx="21">
                  <c:v>3.4542046230373498E-2</c:v>
                </c:pt>
                <c:pt idx="22">
                  <c:v>-2.8250844638179201E-2</c:v>
                </c:pt>
                <c:pt idx="23">
                  <c:v>2.5829454831367199E-2</c:v>
                </c:pt>
                <c:pt idx="24">
                  <c:v>-1.9476020443465698E-2</c:v>
                </c:pt>
                <c:pt idx="25">
                  <c:v>2.12242279490353E-2</c:v>
                </c:pt>
                <c:pt idx="26">
                  <c:v>-1.9040390873515299E-2</c:v>
                </c:pt>
                <c:pt idx="27">
                  <c:v>1.3445128485636801E-2</c:v>
                </c:pt>
                <c:pt idx="28">
                  <c:v>-1.86413925833147E-3</c:v>
                </c:pt>
                <c:pt idx="29">
                  <c:v>-1.12612914101168E-2</c:v>
                </c:pt>
                <c:pt idx="30">
                  <c:v>2.0228503217720298E-2</c:v>
                </c:pt>
                <c:pt idx="31">
                  <c:v>6.8484521406748499E-3</c:v>
                </c:pt>
                <c:pt idx="32">
                  <c:v>4.0479763338513901E-3</c:v>
                </c:pt>
                <c:pt idx="33">
                  <c:v>6.28835697931016E-3</c:v>
                </c:pt>
                <c:pt idx="34">
                  <c:v>9.8356263346198701E-3</c:v>
                </c:pt>
                <c:pt idx="35">
                  <c:v>1.9320612798069999E-3</c:v>
                </c:pt>
                <c:pt idx="36">
                  <c:v>2.7136343541218098E-2</c:v>
                </c:pt>
                <c:pt idx="37">
                  <c:v>-3.3291701090461402E-2</c:v>
                </c:pt>
                <c:pt idx="38">
                  <c:v>1.29472661199793E-2</c:v>
                </c:pt>
                <c:pt idx="39">
                  <c:v>3.0745845692234999E-2</c:v>
                </c:pt>
                <c:pt idx="40">
                  <c:v>-2.47658080785766E-2</c:v>
                </c:pt>
                <c:pt idx="41">
                  <c:v>-2.7976311939392801E-3</c:v>
                </c:pt>
                <c:pt idx="42">
                  <c:v>-3.83947903384508E-2</c:v>
                </c:pt>
                <c:pt idx="43">
                  <c:v>2.5456058057124E-2</c:v>
                </c:pt>
                <c:pt idx="44">
                  <c:v>7.6611416128432502E-2</c:v>
                </c:pt>
                <c:pt idx="45">
                  <c:v>4.66774413932751E-2</c:v>
                </c:pt>
                <c:pt idx="46">
                  <c:v>3.8151548381390399E-2</c:v>
                </c:pt>
                <c:pt idx="47">
                  <c:v>4.5930647844788897E-2</c:v>
                </c:pt>
                <c:pt idx="48">
                  <c:v>4.38474182834488E-4</c:v>
                </c:pt>
                <c:pt idx="49">
                  <c:v>2.19087887018143E-2</c:v>
                </c:pt>
                <c:pt idx="50">
                  <c:v>-4.6646150651549201E-3</c:v>
                </c:pt>
                <c:pt idx="51">
                  <c:v>2.2095487088935901E-2</c:v>
                </c:pt>
                <c:pt idx="52">
                  <c:v>1.30094989156865E-2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46-48C8-9219-B5EE25EED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80771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7712"/>
        <c:crosses val="autoZero"/>
        <c:crossBetween val="midCat"/>
      </c:valAx>
      <c:valAx>
        <c:axId val="9948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600154-86f9-4d3f-ba32-4b8469989cd0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Histor'!$E$54:$E$105</c:f>
              <c:numCache>
                <c:formatCode>0.00%</c:formatCode>
                <c:ptCount val="52"/>
                <c:pt idx="0">
                  <c:v>1.2699999999999999E-2</c:v>
                </c:pt>
                <c:pt idx="1">
                  <c:v>-3.56E-2</c:v>
                </c:pt>
                <c:pt idx="2">
                  <c:v>-1.41E-2</c:v>
                </c:pt>
                <c:pt idx="3">
                  <c:v>-3.7900000000000003E-2</c:v>
                </c:pt>
                <c:pt idx="4">
                  <c:v>2.0199999999999999E-2</c:v>
                </c:pt>
                <c:pt idx="5">
                  <c:v>1.4999999999999999E-2</c:v>
                </c:pt>
                <c:pt idx="6">
                  <c:v>6.8999999999999999E-3</c:v>
                </c:pt>
                <c:pt idx="7">
                  <c:v>1.4E-2</c:v>
                </c:pt>
                <c:pt idx="8">
                  <c:v>4.1200000000000001E-2</c:v>
                </c:pt>
                <c:pt idx="9">
                  <c:v>0.03</c:v>
                </c:pt>
                <c:pt idx="10">
                  <c:v>-1.9699999999999999E-2</c:v>
                </c:pt>
                <c:pt idx="11">
                  <c:v>2.2499999999999999E-2</c:v>
                </c:pt>
                <c:pt idx="12">
                  <c:v>2.75E-2</c:v>
                </c:pt>
                <c:pt idx="13">
                  <c:v>1.8800000000000001E-2</c:v>
                </c:pt>
                <c:pt idx="14">
                  <c:v>7.7999999999999996E-3</c:v>
                </c:pt>
                <c:pt idx="15">
                  <c:v>1.1000000000000001E-3</c:v>
                </c:pt>
                <c:pt idx="16">
                  <c:v>1.2E-2</c:v>
                </c:pt>
                <c:pt idx="17">
                  <c:v>-1.47E-2</c:v>
                </c:pt>
                <c:pt idx="18">
                  <c:v>1.12E-2</c:v>
                </c:pt>
                <c:pt idx="19">
                  <c:v>-4.36E-2</c:v>
                </c:pt>
                <c:pt idx="20">
                  <c:v>2.3099999999999999E-2</c:v>
                </c:pt>
                <c:pt idx="21">
                  <c:v>1.5800000000000002E-2</c:v>
                </c:pt>
                <c:pt idx="22">
                  <c:v>2.69E-2</c:v>
                </c:pt>
                <c:pt idx="23">
                  <c:v>-2.1899999999999999E-2</c:v>
                </c:pt>
                <c:pt idx="24">
                  <c:v>2.3999999999999998E-3</c:v>
                </c:pt>
                <c:pt idx="25">
                  <c:v>-2.3199999999999998E-2</c:v>
                </c:pt>
                <c:pt idx="26">
                  <c:v>-1.4E-2</c:v>
                </c:pt>
                <c:pt idx="27">
                  <c:v>-8.5000000000000006E-3</c:v>
                </c:pt>
                <c:pt idx="28">
                  <c:v>-2.7000000000000001E-3</c:v>
                </c:pt>
                <c:pt idx="29">
                  <c:v>2.76E-2</c:v>
                </c:pt>
                <c:pt idx="30">
                  <c:v>5.8999999999999999E-3</c:v>
                </c:pt>
                <c:pt idx="31">
                  <c:v>2E-3</c:v>
                </c:pt>
                <c:pt idx="32">
                  <c:v>-1.3599999999999999E-2</c:v>
                </c:pt>
                <c:pt idx="33">
                  <c:v>3.5400000000000001E-2</c:v>
                </c:pt>
                <c:pt idx="34">
                  <c:v>6.9999999999999999E-4</c:v>
                </c:pt>
                <c:pt idx="35">
                  <c:v>-1.52E-2</c:v>
                </c:pt>
                <c:pt idx="36">
                  <c:v>1.2999999999999999E-2</c:v>
                </c:pt>
                <c:pt idx="37">
                  <c:v>-4.3499999999999997E-2</c:v>
                </c:pt>
                <c:pt idx="38">
                  <c:v>-2.3E-3</c:v>
                </c:pt>
                <c:pt idx="39">
                  <c:v>2.47E-2</c:v>
                </c:pt>
                <c:pt idx="40">
                  <c:v>2.3999999999999998E-3</c:v>
                </c:pt>
                <c:pt idx="41">
                  <c:v>1.15E-2</c:v>
                </c:pt>
                <c:pt idx="42">
                  <c:v>-7.7000000000000002E-3</c:v>
                </c:pt>
                <c:pt idx="43">
                  <c:v>9.7999999999999997E-3</c:v>
                </c:pt>
                <c:pt idx="44">
                  <c:v>7.7999999999999996E-3</c:v>
                </c:pt>
                <c:pt idx="45">
                  <c:v>1.1999999999999999E-3</c:v>
                </c:pt>
                <c:pt idx="46">
                  <c:v>-6.13E-2</c:v>
                </c:pt>
                <c:pt idx="47">
                  <c:v>2.3599999999999999E-2</c:v>
                </c:pt>
                <c:pt idx="48">
                  <c:v>2.2100000000000002E-2</c:v>
                </c:pt>
                <c:pt idx="49">
                  <c:v>-1.24E-2</c:v>
                </c:pt>
                <c:pt idx="50">
                  <c:v>3.5999999999999999E-3</c:v>
                </c:pt>
                <c:pt idx="51">
                  <c:v>2.8999999999999998E-3</c:v>
                </c:pt>
              </c:numCache>
            </c:numRef>
          </c:xVal>
          <c:yVal>
            <c:numRef>
              <c:f>'Kri-Kri Milk Stock Price Histor'!$C$54:$C$105</c:f>
              <c:numCache>
                <c:formatCode>0.00%</c:formatCode>
                <c:ptCount val="52"/>
                <c:pt idx="0">
                  <c:v>9.1999999999999998E-3</c:v>
                </c:pt>
                <c:pt idx="1">
                  <c:v>0</c:v>
                </c:pt>
                <c:pt idx="2">
                  <c:v>3.0000000000000001E-3</c:v>
                </c:pt>
                <c:pt idx="3">
                  <c:v>6.0000000000000001E-3</c:v>
                </c:pt>
                <c:pt idx="4">
                  <c:v>4.2000000000000003E-2</c:v>
                </c:pt>
                <c:pt idx="5">
                  <c:v>2.3099999999999999E-2</c:v>
                </c:pt>
                <c:pt idx="6">
                  <c:v>-1.41E-2</c:v>
                </c:pt>
                <c:pt idx="7">
                  <c:v>0.04</c:v>
                </c:pt>
                <c:pt idx="8">
                  <c:v>-2.7000000000000001E-3</c:v>
                </c:pt>
                <c:pt idx="9">
                  <c:v>0</c:v>
                </c:pt>
                <c:pt idx="10">
                  <c:v>1.9300000000000001E-2</c:v>
                </c:pt>
                <c:pt idx="11">
                  <c:v>8.0999999999999996E-3</c:v>
                </c:pt>
                <c:pt idx="12">
                  <c:v>3.2199999999999999E-2</c:v>
                </c:pt>
                <c:pt idx="13">
                  <c:v>7.7999999999999996E-3</c:v>
                </c:pt>
                <c:pt idx="14">
                  <c:v>-2.06E-2</c:v>
                </c:pt>
                <c:pt idx="15">
                  <c:v>-1.32E-2</c:v>
                </c:pt>
                <c:pt idx="16">
                  <c:v>2.93E-2</c:v>
                </c:pt>
                <c:pt idx="17">
                  <c:v>-1.55E-2</c:v>
                </c:pt>
                <c:pt idx="18">
                  <c:v>-1.84E-2</c:v>
                </c:pt>
                <c:pt idx="19">
                  <c:v>-2.7000000000000001E-3</c:v>
                </c:pt>
                <c:pt idx="20">
                  <c:v>2.69E-2</c:v>
                </c:pt>
                <c:pt idx="21">
                  <c:v>1.3100000000000001E-2</c:v>
                </c:pt>
                <c:pt idx="22">
                  <c:v>2.07E-2</c:v>
                </c:pt>
                <c:pt idx="23">
                  <c:v>1.77E-2</c:v>
                </c:pt>
                <c:pt idx="24">
                  <c:v>5.7200000000000001E-2</c:v>
                </c:pt>
                <c:pt idx="25">
                  <c:v>3.5299999999999998E-2</c:v>
                </c:pt>
                <c:pt idx="26">
                  <c:v>-1.8200000000000001E-2</c:v>
                </c:pt>
                <c:pt idx="27">
                  <c:v>-4.5999999999999999E-3</c:v>
                </c:pt>
                <c:pt idx="28">
                  <c:v>7.0000000000000001E-3</c:v>
                </c:pt>
                <c:pt idx="29">
                  <c:v>1.6199999999999999E-2</c:v>
                </c:pt>
                <c:pt idx="30">
                  <c:v>-6.7999999999999996E-3</c:v>
                </c:pt>
                <c:pt idx="31">
                  <c:v>-3.4299999999999997E-2</c:v>
                </c:pt>
                <c:pt idx="32">
                  <c:v>7.1000000000000004E-3</c:v>
                </c:pt>
                <c:pt idx="33">
                  <c:v>0</c:v>
                </c:pt>
                <c:pt idx="34">
                  <c:v>2.3999999999999998E-3</c:v>
                </c:pt>
                <c:pt idx="35">
                  <c:v>-3.7600000000000001E-2</c:v>
                </c:pt>
                <c:pt idx="36">
                  <c:v>2.1999999999999999E-2</c:v>
                </c:pt>
                <c:pt idx="37">
                  <c:v>-8.8300000000000003E-2</c:v>
                </c:pt>
                <c:pt idx="38">
                  <c:v>-1.0500000000000001E-2</c:v>
                </c:pt>
                <c:pt idx="39">
                  <c:v>1.8499999999999999E-2</c:v>
                </c:pt>
                <c:pt idx="40">
                  <c:v>3.3799999999999997E-2</c:v>
                </c:pt>
                <c:pt idx="41">
                  <c:v>4.2700000000000002E-2</c:v>
                </c:pt>
                <c:pt idx="42">
                  <c:v>-3.8600000000000002E-2</c:v>
                </c:pt>
                <c:pt idx="43">
                  <c:v>-2.5000000000000001E-3</c:v>
                </c:pt>
                <c:pt idx="44">
                  <c:v>4.02E-2</c:v>
                </c:pt>
                <c:pt idx="45">
                  <c:v>-2.3999999999999998E-3</c:v>
                </c:pt>
                <c:pt idx="46">
                  <c:v>-2.4199999999999999E-2</c:v>
                </c:pt>
                <c:pt idx="47">
                  <c:v>2.98E-2</c:v>
                </c:pt>
                <c:pt idx="48">
                  <c:v>-2.41E-2</c:v>
                </c:pt>
                <c:pt idx="49">
                  <c:v>-4.8999999999999998E-3</c:v>
                </c:pt>
                <c:pt idx="50">
                  <c:v>5.4600000000000003E-2</c:v>
                </c:pt>
                <c:pt idx="5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7D-41B5-B218-FC81C5258B67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Histor'!$E$54:$E$105</c:f>
              <c:numCache>
                <c:formatCode>0.00%</c:formatCode>
                <c:ptCount val="52"/>
                <c:pt idx="0">
                  <c:v>1.2699999999999999E-2</c:v>
                </c:pt>
                <c:pt idx="1">
                  <c:v>-3.56E-2</c:v>
                </c:pt>
                <c:pt idx="2">
                  <c:v>-1.41E-2</c:v>
                </c:pt>
                <c:pt idx="3">
                  <c:v>-3.7900000000000003E-2</c:v>
                </c:pt>
                <c:pt idx="4">
                  <c:v>2.0199999999999999E-2</c:v>
                </c:pt>
                <c:pt idx="5">
                  <c:v>1.4999999999999999E-2</c:v>
                </c:pt>
                <c:pt idx="6">
                  <c:v>6.8999999999999999E-3</c:v>
                </c:pt>
                <c:pt idx="7">
                  <c:v>1.4E-2</c:v>
                </c:pt>
                <c:pt idx="8">
                  <c:v>4.1200000000000001E-2</c:v>
                </c:pt>
                <c:pt idx="9">
                  <c:v>0.03</c:v>
                </c:pt>
                <c:pt idx="10">
                  <c:v>-1.9699999999999999E-2</c:v>
                </c:pt>
                <c:pt idx="11">
                  <c:v>2.2499999999999999E-2</c:v>
                </c:pt>
                <c:pt idx="12">
                  <c:v>2.75E-2</c:v>
                </c:pt>
                <c:pt idx="13">
                  <c:v>1.8800000000000001E-2</c:v>
                </c:pt>
                <c:pt idx="14">
                  <c:v>7.7999999999999996E-3</c:v>
                </c:pt>
                <c:pt idx="15">
                  <c:v>1.1000000000000001E-3</c:v>
                </c:pt>
                <c:pt idx="16">
                  <c:v>1.2E-2</c:v>
                </c:pt>
                <c:pt idx="17">
                  <c:v>-1.47E-2</c:v>
                </c:pt>
                <c:pt idx="18">
                  <c:v>1.12E-2</c:v>
                </c:pt>
                <c:pt idx="19">
                  <c:v>-4.36E-2</c:v>
                </c:pt>
                <c:pt idx="20">
                  <c:v>2.3099999999999999E-2</c:v>
                </c:pt>
                <c:pt idx="21">
                  <c:v>1.5800000000000002E-2</c:v>
                </c:pt>
                <c:pt idx="22">
                  <c:v>2.69E-2</c:v>
                </c:pt>
                <c:pt idx="23">
                  <c:v>-2.1899999999999999E-2</c:v>
                </c:pt>
                <c:pt idx="24">
                  <c:v>2.3999999999999998E-3</c:v>
                </c:pt>
                <c:pt idx="25">
                  <c:v>-2.3199999999999998E-2</c:v>
                </c:pt>
                <c:pt idx="26">
                  <c:v>-1.4E-2</c:v>
                </c:pt>
                <c:pt idx="27">
                  <c:v>-8.5000000000000006E-3</c:v>
                </c:pt>
                <c:pt idx="28">
                  <c:v>-2.7000000000000001E-3</c:v>
                </c:pt>
                <c:pt idx="29">
                  <c:v>2.76E-2</c:v>
                </c:pt>
                <c:pt idx="30">
                  <c:v>5.8999999999999999E-3</c:v>
                </c:pt>
                <c:pt idx="31">
                  <c:v>2E-3</c:v>
                </c:pt>
                <c:pt idx="32">
                  <c:v>-1.3599999999999999E-2</c:v>
                </c:pt>
                <c:pt idx="33">
                  <c:v>3.5400000000000001E-2</c:v>
                </c:pt>
                <c:pt idx="34">
                  <c:v>6.9999999999999999E-4</c:v>
                </c:pt>
                <c:pt idx="35">
                  <c:v>-1.52E-2</c:v>
                </c:pt>
                <c:pt idx="36">
                  <c:v>1.2999999999999999E-2</c:v>
                </c:pt>
                <c:pt idx="37">
                  <c:v>-4.3499999999999997E-2</c:v>
                </c:pt>
                <c:pt idx="38">
                  <c:v>-2.3E-3</c:v>
                </c:pt>
                <c:pt idx="39">
                  <c:v>2.47E-2</c:v>
                </c:pt>
                <c:pt idx="40">
                  <c:v>2.3999999999999998E-3</c:v>
                </c:pt>
                <c:pt idx="41">
                  <c:v>1.15E-2</c:v>
                </c:pt>
                <c:pt idx="42">
                  <c:v>-7.7000000000000002E-3</c:v>
                </c:pt>
                <c:pt idx="43">
                  <c:v>9.7999999999999997E-3</c:v>
                </c:pt>
                <c:pt idx="44">
                  <c:v>7.7999999999999996E-3</c:v>
                </c:pt>
                <c:pt idx="45">
                  <c:v>1.1999999999999999E-3</c:v>
                </c:pt>
                <c:pt idx="46">
                  <c:v>-6.13E-2</c:v>
                </c:pt>
                <c:pt idx="47">
                  <c:v>2.3599999999999999E-2</c:v>
                </c:pt>
                <c:pt idx="48">
                  <c:v>2.2100000000000002E-2</c:v>
                </c:pt>
                <c:pt idx="49">
                  <c:v>-1.24E-2</c:v>
                </c:pt>
                <c:pt idx="50">
                  <c:v>3.5999999999999999E-3</c:v>
                </c:pt>
                <c:pt idx="51">
                  <c:v>2.8999999999999998E-3</c:v>
                </c:pt>
              </c:numCache>
            </c:numRef>
          </c:xVal>
          <c:yVal>
            <c:numRef>
              <c:f>'Beta 2021'!$B$25:$B$76</c:f>
              <c:numCache>
                <c:formatCode>General</c:formatCode>
                <c:ptCount val="52"/>
                <c:pt idx="0">
                  <c:v>1.0244995081777499E-2</c:v>
                </c:pt>
                <c:pt idx="1">
                  <c:v>-1.19025999043651E-2</c:v>
                </c:pt>
                <c:pt idx="2">
                  <c:v>-2.0439396103265001E-3</c:v>
                </c:pt>
                <c:pt idx="3">
                  <c:v>-1.2957247284657599E-2</c:v>
                </c:pt>
                <c:pt idx="4">
                  <c:v>1.36840626262096E-2</c:v>
                </c:pt>
                <c:pt idx="5">
                  <c:v>1.1299642462070001E-2</c:v>
                </c:pt>
                <c:pt idx="6">
                  <c:v>7.5854495140833299E-3</c:v>
                </c:pt>
                <c:pt idx="7">
                  <c:v>1.08411001228124E-2</c:v>
                </c:pt>
                <c:pt idx="8">
                  <c:v>2.3313451750619399E-2</c:v>
                </c:pt>
                <c:pt idx="9">
                  <c:v>1.81777775509341E-2</c:v>
                </c:pt>
                <c:pt idx="10">
                  <c:v>-4.6117767101691203E-3</c:v>
                </c:pt>
                <c:pt idx="11">
                  <c:v>1.47387100065021E-2</c:v>
                </c:pt>
                <c:pt idx="12">
                  <c:v>1.7031421702790098E-2</c:v>
                </c:pt>
                <c:pt idx="13">
                  <c:v>1.3042103351248901E-2</c:v>
                </c:pt>
                <c:pt idx="14">
                  <c:v>7.9981376194151708E-3</c:v>
                </c:pt>
                <c:pt idx="15">
                  <c:v>4.9259039463891803E-3</c:v>
                </c:pt>
                <c:pt idx="16">
                  <c:v>9.9240154442971403E-3</c:v>
                </c:pt>
                <c:pt idx="17">
                  <c:v>-2.3190650138810698E-3</c:v>
                </c:pt>
                <c:pt idx="18">
                  <c:v>9.5571815728910502E-3</c:v>
                </c:pt>
                <c:pt idx="19">
                  <c:v>-1.5570938618426001E-2</c:v>
                </c:pt>
                <c:pt idx="20">
                  <c:v>1.5013835410056599E-2</c:v>
                </c:pt>
                <c:pt idx="21">
                  <c:v>1.1666476333476099E-2</c:v>
                </c:pt>
                <c:pt idx="22">
                  <c:v>1.6756296299235501E-2</c:v>
                </c:pt>
                <c:pt idx="23">
                  <c:v>-5.6205698565358697E-3</c:v>
                </c:pt>
                <c:pt idx="24">
                  <c:v>5.5220089874240801E-3</c:v>
                </c:pt>
                <c:pt idx="25">
                  <c:v>-6.2166748975707601E-3</c:v>
                </c:pt>
                <c:pt idx="26">
                  <c:v>-1.9980853764007401E-3</c:v>
                </c:pt>
                <c:pt idx="27">
                  <c:v>5.2389748951611704E-4</c:v>
                </c:pt>
                <c:pt idx="28">
                  <c:v>3.1834430572102602E-3</c:v>
                </c:pt>
                <c:pt idx="29">
                  <c:v>1.7077275936715899E-2</c:v>
                </c:pt>
                <c:pt idx="30">
                  <c:v>7.1269071748257104E-3</c:v>
                </c:pt>
                <c:pt idx="31">
                  <c:v>5.3385920517210299E-3</c:v>
                </c:pt>
                <c:pt idx="32">
                  <c:v>-1.8146684406977001E-3</c:v>
                </c:pt>
                <c:pt idx="33">
                  <c:v>2.0653906182925199E-2</c:v>
                </c:pt>
                <c:pt idx="34">
                  <c:v>4.7424870106861404E-3</c:v>
                </c:pt>
                <c:pt idx="35">
                  <c:v>-2.54833618350988E-3</c:v>
                </c:pt>
                <c:pt idx="36">
                  <c:v>1.03825577835548E-2</c:v>
                </c:pt>
                <c:pt idx="37">
                  <c:v>-1.5525084384500299E-2</c:v>
                </c:pt>
                <c:pt idx="38">
                  <c:v>3.3668599929133E-3</c:v>
                </c:pt>
                <c:pt idx="39">
                  <c:v>1.57475031528688E-2</c:v>
                </c:pt>
                <c:pt idx="40">
                  <c:v>5.5220089874240801E-3</c:v>
                </c:pt>
                <c:pt idx="41">
                  <c:v>9.6947442746683297E-3</c:v>
                </c:pt>
                <c:pt idx="42">
                  <c:v>8.9073136092220496E-4</c:v>
                </c:pt>
                <c:pt idx="43">
                  <c:v>8.9152222979303995E-3</c:v>
                </c:pt>
                <c:pt idx="44">
                  <c:v>7.9981376194151708E-3</c:v>
                </c:pt>
                <c:pt idx="45">
                  <c:v>4.9717581803149398E-3</c:v>
                </c:pt>
                <c:pt idx="46">
                  <c:v>-2.36871380232857E-2</c:v>
                </c:pt>
                <c:pt idx="47">
                  <c:v>1.52431065796854E-2</c:v>
                </c:pt>
                <c:pt idx="48">
                  <c:v>1.4555293070799001E-2</c:v>
                </c:pt>
                <c:pt idx="49">
                  <c:v>-1.2644176335885699E-3</c:v>
                </c:pt>
                <c:pt idx="50">
                  <c:v>6.07225979453321E-3</c:v>
                </c:pt>
                <c:pt idx="51">
                  <c:v>5.7512801570528804E-3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7D-41B5-B218-FC81C5258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80339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3392"/>
        <c:crosses val="autoZero"/>
        <c:crossBetween val="midCat"/>
      </c:valAx>
      <c:valAx>
        <c:axId val="99480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0c509d-8f0e-49e6-ad54-e520ab085a7e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Histor'!$E$106:$E$157</c:f>
              <c:numCache>
                <c:formatCode>0.00%</c:formatCode>
                <c:ptCount val="52"/>
                <c:pt idx="0">
                  <c:v>1.47E-2</c:v>
                </c:pt>
                <c:pt idx="1">
                  <c:v>4.7300000000000002E-2</c:v>
                </c:pt>
                <c:pt idx="2">
                  <c:v>-7.3000000000000001E-3</c:v>
                </c:pt>
                <c:pt idx="3">
                  <c:v>-1.9099999999999999E-2</c:v>
                </c:pt>
                <c:pt idx="4">
                  <c:v>2.23E-2</c:v>
                </c:pt>
                <c:pt idx="5">
                  <c:v>2.76E-2</c:v>
                </c:pt>
                <c:pt idx="6">
                  <c:v>-1.5599999999999999E-2</c:v>
                </c:pt>
                <c:pt idx="7">
                  <c:v>-0.03</c:v>
                </c:pt>
                <c:pt idx="8">
                  <c:v>-0.1138</c:v>
                </c:pt>
                <c:pt idx="9">
                  <c:v>7.6E-3</c:v>
                </c:pt>
                <c:pt idx="10">
                  <c:v>4.2200000000000001E-2</c:v>
                </c:pt>
                <c:pt idx="11">
                  <c:v>-2.29E-2</c:v>
                </c:pt>
                <c:pt idx="12">
                  <c:v>5.6399999999999999E-2</c:v>
                </c:pt>
                <c:pt idx="13">
                  <c:v>1.7500000000000002E-2</c:v>
                </c:pt>
                <c:pt idx="14">
                  <c:v>1.4E-2</c:v>
                </c:pt>
                <c:pt idx="15">
                  <c:v>3.3399999999999999E-2</c:v>
                </c:pt>
                <c:pt idx="16">
                  <c:v>-2.87E-2</c:v>
                </c:pt>
                <c:pt idx="17">
                  <c:v>-6.0400000000000002E-2</c:v>
                </c:pt>
                <c:pt idx="18">
                  <c:v>2.9999999999999997E-4</c:v>
                </c:pt>
                <c:pt idx="19">
                  <c:v>-8.0000000000000002E-3</c:v>
                </c:pt>
                <c:pt idx="20">
                  <c:v>3.6499999999999998E-2</c:v>
                </c:pt>
                <c:pt idx="21">
                  <c:v>6.1000000000000004E-3</c:v>
                </c:pt>
                <c:pt idx="22">
                  <c:v>-3.8300000000000001E-2</c:v>
                </c:pt>
                <c:pt idx="23">
                  <c:v>-4.3099999999999999E-2</c:v>
                </c:pt>
                <c:pt idx="24">
                  <c:v>1.14E-2</c:v>
                </c:pt>
                <c:pt idx="25">
                  <c:v>-3.4799999999999998E-2</c:v>
                </c:pt>
                <c:pt idx="26">
                  <c:v>-4.4999999999999997E-3</c:v>
                </c:pt>
                <c:pt idx="27">
                  <c:v>-9.4000000000000004E-3</c:v>
                </c:pt>
                <c:pt idx="28">
                  <c:v>4.4499999999999998E-2</c:v>
                </c:pt>
                <c:pt idx="29">
                  <c:v>2.5399999999999999E-2</c:v>
                </c:pt>
                <c:pt idx="30">
                  <c:v>-2.0999999999999999E-3</c:v>
                </c:pt>
                <c:pt idx="31">
                  <c:v>3.4799999999999998E-2</c:v>
                </c:pt>
                <c:pt idx="32">
                  <c:v>2.3199999999999998E-2</c:v>
                </c:pt>
                <c:pt idx="33">
                  <c:v>-6.0000000000000001E-3</c:v>
                </c:pt>
                <c:pt idx="34">
                  <c:v>-5.4800000000000001E-2</c:v>
                </c:pt>
                <c:pt idx="35">
                  <c:v>-3.3999999999999998E-3</c:v>
                </c:pt>
                <c:pt idx="36">
                  <c:v>-6.7999999999999996E-3</c:v>
                </c:pt>
                <c:pt idx="37">
                  <c:v>-4.5499999999999999E-2</c:v>
                </c:pt>
                <c:pt idx="38">
                  <c:v>-6.4999999999999997E-3</c:v>
                </c:pt>
                <c:pt idx="39">
                  <c:v>2.6700000000000002E-2</c:v>
                </c:pt>
                <c:pt idx="40">
                  <c:v>2.24E-2</c:v>
                </c:pt>
                <c:pt idx="41">
                  <c:v>2.7199999999999998E-2</c:v>
                </c:pt>
                <c:pt idx="42">
                  <c:v>6.7000000000000002E-3</c:v>
                </c:pt>
                <c:pt idx="43">
                  <c:v>2.1299999999999999E-2</c:v>
                </c:pt>
                <c:pt idx="44">
                  <c:v>2.12E-2</c:v>
                </c:pt>
                <c:pt idx="45">
                  <c:v>-8.8000000000000005E-3</c:v>
                </c:pt>
                <c:pt idx="46">
                  <c:v>3.1199999999999999E-2</c:v>
                </c:pt>
                <c:pt idx="47">
                  <c:v>-1.49E-2</c:v>
                </c:pt>
                <c:pt idx="48">
                  <c:v>1.3299999999999999E-2</c:v>
                </c:pt>
                <c:pt idx="49">
                  <c:v>-4.4999999999999997E-3</c:v>
                </c:pt>
                <c:pt idx="50">
                  <c:v>1.03E-2</c:v>
                </c:pt>
                <c:pt idx="51">
                  <c:v>9.2999999999999992E-3</c:v>
                </c:pt>
              </c:numCache>
            </c:numRef>
          </c:xVal>
          <c:yVal>
            <c:numRef>
              <c:f>'Kri-Kri Milk Stock Price Histor'!$C$106:$C$157</c:f>
              <c:numCache>
                <c:formatCode>0.00%</c:formatCode>
                <c:ptCount val="52"/>
                <c:pt idx="0">
                  <c:v>-9.4000000000000004E-3</c:v>
                </c:pt>
                <c:pt idx="1">
                  <c:v>4.7999999999999996E-3</c:v>
                </c:pt>
                <c:pt idx="2">
                  <c:v>-2.8400000000000002E-2</c:v>
                </c:pt>
                <c:pt idx="3">
                  <c:v>9.7000000000000003E-3</c:v>
                </c:pt>
                <c:pt idx="4">
                  <c:v>9.5999999999999992E-3</c:v>
                </c:pt>
                <c:pt idx="5">
                  <c:v>-2.1499999999999998E-2</c:v>
                </c:pt>
                <c:pt idx="6">
                  <c:v>-2.6800000000000001E-2</c:v>
                </c:pt>
                <c:pt idx="7">
                  <c:v>-4.7600000000000003E-2</c:v>
                </c:pt>
                <c:pt idx="8">
                  <c:v>-1.32E-2</c:v>
                </c:pt>
                <c:pt idx="9">
                  <c:v>-1.6E-2</c:v>
                </c:pt>
                <c:pt idx="10">
                  <c:v>1.3599999999999999E-2</c:v>
                </c:pt>
                <c:pt idx="11">
                  <c:v>-4.2799999999999998E-2</c:v>
                </c:pt>
                <c:pt idx="12">
                  <c:v>4.7500000000000001E-2</c:v>
                </c:pt>
                <c:pt idx="13">
                  <c:v>-3.73E-2</c:v>
                </c:pt>
                <c:pt idx="14">
                  <c:v>4.4299999999999999E-2</c:v>
                </c:pt>
                <c:pt idx="15">
                  <c:v>-3.4500000000000003E-2</c:v>
                </c:pt>
                <c:pt idx="16">
                  <c:v>-3.85E-2</c:v>
                </c:pt>
                <c:pt idx="17">
                  <c:v>-7.1400000000000005E-2</c:v>
                </c:pt>
                <c:pt idx="18">
                  <c:v>-6.1999999999999998E-3</c:v>
                </c:pt>
                <c:pt idx="19">
                  <c:v>-9.2999999999999992E-3</c:v>
                </c:pt>
                <c:pt idx="20">
                  <c:v>6.1999999999999998E-3</c:v>
                </c:pt>
                <c:pt idx="21">
                  <c:v>-6.83E-2</c:v>
                </c:pt>
                <c:pt idx="22">
                  <c:v>-6.7000000000000002E-3</c:v>
                </c:pt>
                <c:pt idx="23">
                  <c:v>-4.0300000000000002E-2</c:v>
                </c:pt>
                <c:pt idx="24">
                  <c:v>-1.0500000000000001E-2</c:v>
                </c:pt>
                <c:pt idx="25">
                  <c:v>-2.8299999999999999E-2</c:v>
                </c:pt>
                <c:pt idx="26">
                  <c:v>1.8200000000000001E-2</c:v>
                </c:pt>
                <c:pt idx="27">
                  <c:v>4.2900000000000001E-2</c:v>
                </c:pt>
                <c:pt idx="28">
                  <c:v>1.03E-2</c:v>
                </c:pt>
                <c:pt idx="29">
                  <c:v>-3.39E-2</c:v>
                </c:pt>
                <c:pt idx="30">
                  <c:v>4.9099999999999998E-2</c:v>
                </c:pt>
                <c:pt idx="31">
                  <c:v>-3.3E-3</c:v>
                </c:pt>
                <c:pt idx="32">
                  <c:v>1.6799999999999999E-2</c:v>
                </c:pt>
                <c:pt idx="33">
                  <c:v>-2.3099999999999999E-2</c:v>
                </c:pt>
                <c:pt idx="34">
                  <c:v>-3.7199999999999997E-2</c:v>
                </c:pt>
                <c:pt idx="35">
                  <c:v>-6.6699999999999995E-2</c:v>
                </c:pt>
                <c:pt idx="36">
                  <c:v>7.4999999999999997E-3</c:v>
                </c:pt>
                <c:pt idx="37">
                  <c:v>-5.2200000000000003E-2</c:v>
                </c:pt>
                <c:pt idx="38">
                  <c:v>-3.8999999999999998E-3</c:v>
                </c:pt>
                <c:pt idx="39">
                  <c:v>8.6999999999999994E-2</c:v>
                </c:pt>
                <c:pt idx="40">
                  <c:v>-1.4500000000000001E-2</c:v>
                </c:pt>
                <c:pt idx="41">
                  <c:v>-1.11E-2</c:v>
                </c:pt>
                <c:pt idx="42">
                  <c:v>1.12E-2</c:v>
                </c:pt>
                <c:pt idx="43">
                  <c:v>-3.7000000000000002E-3</c:v>
                </c:pt>
                <c:pt idx="44">
                  <c:v>6.6699999999999995E-2</c:v>
                </c:pt>
                <c:pt idx="45">
                  <c:v>-1.04E-2</c:v>
                </c:pt>
                <c:pt idx="46">
                  <c:v>8.0699999999999994E-2</c:v>
                </c:pt>
                <c:pt idx="47">
                  <c:v>-4.5499999999999999E-2</c:v>
                </c:pt>
                <c:pt idx="48">
                  <c:v>2.0400000000000001E-2</c:v>
                </c:pt>
                <c:pt idx="49">
                  <c:v>0.06</c:v>
                </c:pt>
                <c:pt idx="50">
                  <c:v>-6.3E-3</c:v>
                </c:pt>
                <c:pt idx="51">
                  <c:v>-1.9E-2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8B-46C1-8512-98C0D79FA706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Histor'!$E$106:$E$157</c:f>
              <c:numCache>
                <c:formatCode>0.00%</c:formatCode>
                <c:ptCount val="52"/>
                <c:pt idx="0">
                  <c:v>1.47E-2</c:v>
                </c:pt>
                <c:pt idx="1">
                  <c:v>4.7300000000000002E-2</c:v>
                </c:pt>
                <c:pt idx="2">
                  <c:v>-7.3000000000000001E-3</c:v>
                </c:pt>
                <c:pt idx="3">
                  <c:v>-1.9099999999999999E-2</c:v>
                </c:pt>
                <c:pt idx="4">
                  <c:v>2.23E-2</c:v>
                </c:pt>
                <c:pt idx="5">
                  <c:v>2.76E-2</c:v>
                </c:pt>
                <c:pt idx="6">
                  <c:v>-1.5599999999999999E-2</c:v>
                </c:pt>
                <c:pt idx="7">
                  <c:v>-0.03</c:v>
                </c:pt>
                <c:pt idx="8">
                  <c:v>-0.1138</c:v>
                </c:pt>
                <c:pt idx="9">
                  <c:v>7.6E-3</c:v>
                </c:pt>
                <c:pt idx="10">
                  <c:v>4.2200000000000001E-2</c:v>
                </c:pt>
                <c:pt idx="11">
                  <c:v>-2.29E-2</c:v>
                </c:pt>
                <c:pt idx="12">
                  <c:v>5.6399999999999999E-2</c:v>
                </c:pt>
                <c:pt idx="13">
                  <c:v>1.7500000000000002E-2</c:v>
                </c:pt>
                <c:pt idx="14">
                  <c:v>1.4E-2</c:v>
                </c:pt>
                <c:pt idx="15">
                  <c:v>3.3399999999999999E-2</c:v>
                </c:pt>
                <c:pt idx="16">
                  <c:v>-2.87E-2</c:v>
                </c:pt>
                <c:pt idx="17">
                  <c:v>-6.0400000000000002E-2</c:v>
                </c:pt>
                <c:pt idx="18">
                  <c:v>2.9999999999999997E-4</c:v>
                </c:pt>
                <c:pt idx="19">
                  <c:v>-8.0000000000000002E-3</c:v>
                </c:pt>
                <c:pt idx="20">
                  <c:v>3.6499999999999998E-2</c:v>
                </c:pt>
                <c:pt idx="21">
                  <c:v>6.1000000000000004E-3</c:v>
                </c:pt>
                <c:pt idx="22">
                  <c:v>-3.8300000000000001E-2</c:v>
                </c:pt>
                <c:pt idx="23">
                  <c:v>-4.3099999999999999E-2</c:v>
                </c:pt>
                <c:pt idx="24">
                  <c:v>1.14E-2</c:v>
                </c:pt>
                <c:pt idx="25">
                  <c:v>-3.4799999999999998E-2</c:v>
                </c:pt>
                <c:pt idx="26">
                  <c:v>-4.4999999999999997E-3</c:v>
                </c:pt>
                <c:pt idx="27">
                  <c:v>-9.4000000000000004E-3</c:v>
                </c:pt>
                <c:pt idx="28">
                  <c:v>4.4499999999999998E-2</c:v>
                </c:pt>
                <c:pt idx="29">
                  <c:v>2.5399999999999999E-2</c:v>
                </c:pt>
                <c:pt idx="30">
                  <c:v>-2.0999999999999999E-3</c:v>
                </c:pt>
                <c:pt idx="31">
                  <c:v>3.4799999999999998E-2</c:v>
                </c:pt>
                <c:pt idx="32">
                  <c:v>2.3199999999999998E-2</c:v>
                </c:pt>
                <c:pt idx="33">
                  <c:v>-6.0000000000000001E-3</c:v>
                </c:pt>
                <c:pt idx="34">
                  <c:v>-5.4800000000000001E-2</c:v>
                </c:pt>
                <c:pt idx="35">
                  <c:v>-3.3999999999999998E-3</c:v>
                </c:pt>
                <c:pt idx="36">
                  <c:v>-6.7999999999999996E-3</c:v>
                </c:pt>
                <c:pt idx="37">
                  <c:v>-4.5499999999999999E-2</c:v>
                </c:pt>
                <c:pt idx="38">
                  <c:v>-6.4999999999999997E-3</c:v>
                </c:pt>
                <c:pt idx="39">
                  <c:v>2.6700000000000002E-2</c:v>
                </c:pt>
                <c:pt idx="40">
                  <c:v>2.24E-2</c:v>
                </c:pt>
                <c:pt idx="41">
                  <c:v>2.7199999999999998E-2</c:v>
                </c:pt>
                <c:pt idx="42">
                  <c:v>6.7000000000000002E-3</c:v>
                </c:pt>
                <c:pt idx="43">
                  <c:v>2.1299999999999999E-2</c:v>
                </c:pt>
                <c:pt idx="44">
                  <c:v>2.12E-2</c:v>
                </c:pt>
                <c:pt idx="45">
                  <c:v>-8.8000000000000005E-3</c:v>
                </c:pt>
                <c:pt idx="46">
                  <c:v>3.1199999999999999E-2</c:v>
                </c:pt>
                <c:pt idx="47">
                  <c:v>-1.49E-2</c:v>
                </c:pt>
                <c:pt idx="48">
                  <c:v>1.3299999999999999E-2</c:v>
                </c:pt>
                <c:pt idx="49">
                  <c:v>-4.4999999999999997E-3</c:v>
                </c:pt>
                <c:pt idx="50">
                  <c:v>1.03E-2</c:v>
                </c:pt>
                <c:pt idx="51">
                  <c:v>9.2999999999999992E-3</c:v>
                </c:pt>
              </c:numCache>
            </c:numRef>
          </c:xVal>
          <c:yVal>
            <c:numRef>
              <c:f>'Beta 2022'!$B$25:$B$76</c:f>
              <c:numCache>
                <c:formatCode>General</c:formatCode>
                <c:ptCount val="52"/>
                <c:pt idx="0">
                  <c:v>1.21373802172073E-3</c:v>
                </c:pt>
                <c:pt idx="1">
                  <c:v>1.72811517229528E-2</c:v>
                </c:pt>
                <c:pt idx="2">
                  <c:v>-9.6293018993561397E-3</c:v>
                </c:pt>
                <c:pt idx="3">
                  <c:v>-1.5445114220660999E-2</c:v>
                </c:pt>
                <c:pt idx="4">
                  <c:v>4.9595154490018403E-3</c:v>
                </c:pt>
                <c:pt idx="5">
                  <c:v>7.5717023390794499E-3</c:v>
                </c:pt>
                <c:pt idx="6">
                  <c:v>-1.37200851423079E-2</c:v>
                </c:pt>
                <c:pt idx="7">
                  <c:v>-2.0817347636103701E-2</c:v>
                </c:pt>
                <c:pt idx="8">
                  <c:v>-6.21194724263874E-2</c:v>
                </c:pt>
                <c:pt idx="9">
                  <c:v>-2.2856066800813501E-3</c:v>
                </c:pt>
                <c:pt idx="10">
                  <c:v>1.4767537923066801E-2</c:v>
                </c:pt>
                <c:pt idx="11">
                  <c:v>-1.73180029343016E-2</c:v>
                </c:pt>
                <c:pt idx="12">
                  <c:v>2.1766227326670998E-2</c:v>
                </c:pt>
                <c:pt idx="13">
                  <c:v>2.5937612844032501E-3</c:v>
                </c:pt>
                <c:pt idx="14">
                  <c:v>8.6873220605010503E-4</c:v>
                </c:pt>
                <c:pt idx="15">
                  <c:v>1.04303219546361E-2</c:v>
                </c:pt>
                <c:pt idx="16">
                  <c:v>-2.0176622549858199E-2</c:v>
                </c:pt>
                <c:pt idx="17">
                  <c:v>-3.5800457345228097E-2</c:v>
                </c:pt>
                <c:pt idx="18">
                  <c:v>-5.8835244720750399E-3</c:v>
                </c:pt>
                <c:pt idx="19">
                  <c:v>-9.9743077150267704E-3</c:v>
                </c:pt>
                <c:pt idx="20">
                  <c:v>1.1958204852606E-2</c:v>
                </c:pt>
                <c:pt idx="21">
                  <c:v>-3.0249048565184102E-3</c:v>
                </c:pt>
                <c:pt idx="22">
                  <c:v>-2.4908130879055398E-2</c:v>
                </c:pt>
                <c:pt idx="23">
                  <c:v>-2.7273885043653998E-2</c:v>
                </c:pt>
                <c:pt idx="24">
                  <c:v>-4.1271796644079799E-4</c:v>
                </c:pt>
                <c:pt idx="25">
                  <c:v>-2.31831018007022E-2</c:v>
                </c:pt>
                <c:pt idx="26">
                  <c:v>-8.2492786366736293E-3</c:v>
                </c:pt>
                <c:pt idx="27">
                  <c:v>-1.0664319346368E-2</c:v>
                </c:pt>
                <c:pt idx="28">
                  <c:v>1.5901128460270302E-2</c:v>
                </c:pt>
                <c:pt idx="29">
                  <c:v>6.4873983469717596E-3</c:v>
                </c:pt>
                <c:pt idx="30">
                  <c:v>-7.0664015543743398E-3</c:v>
                </c:pt>
                <c:pt idx="31">
                  <c:v>1.1120333585977299E-2</c:v>
                </c:pt>
                <c:pt idx="32">
                  <c:v>5.4030943548640702E-3</c:v>
                </c:pt>
                <c:pt idx="33">
                  <c:v>-8.9885768131106897E-3</c:v>
                </c:pt>
                <c:pt idx="34">
                  <c:v>-3.3040410819863003E-2</c:v>
                </c:pt>
                <c:pt idx="35">
                  <c:v>-7.7071266406197898E-3</c:v>
                </c:pt>
                <c:pt idx="36">
                  <c:v>-9.38286917387713E-3</c:v>
                </c:pt>
                <c:pt idx="37">
                  <c:v>-2.84567621259533E-2</c:v>
                </c:pt>
                <c:pt idx="38">
                  <c:v>-9.2350095385897099E-3</c:v>
                </c:pt>
                <c:pt idx="39">
                  <c:v>7.1281234332172096E-3</c:v>
                </c:pt>
                <c:pt idx="40">
                  <c:v>5.0088019940976404E-3</c:v>
                </c:pt>
                <c:pt idx="41">
                  <c:v>7.3745561586962298E-3</c:v>
                </c:pt>
                <c:pt idx="42">
                  <c:v>-2.7291855859435899E-3</c:v>
                </c:pt>
                <c:pt idx="43">
                  <c:v>4.4666499980438E-3</c:v>
                </c:pt>
                <c:pt idx="44">
                  <c:v>4.4173634529479904E-3</c:v>
                </c:pt>
                <c:pt idx="45">
                  <c:v>-1.03686000757932E-2</c:v>
                </c:pt>
                <c:pt idx="46">
                  <c:v>9.3460179625283902E-3</c:v>
                </c:pt>
                <c:pt idx="47">
                  <c:v>-1.33750793266372E-2</c:v>
                </c:pt>
                <c:pt idx="48">
                  <c:v>5.2372639037947697E-4</c:v>
                </c:pt>
                <c:pt idx="49">
                  <c:v>-8.2492786366736293E-3</c:v>
                </c:pt>
                <c:pt idx="50">
                  <c:v>-9.5486996249464205E-4</c:v>
                </c:pt>
                <c:pt idx="51">
                  <c:v>-1.44773541345268E-3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8B-46C1-8512-98C0D79FA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10112"/>
        <c:axId val="994804352"/>
      </c:scatterChart>
      <c:valAx>
        <c:axId val="99481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4352"/>
        <c:crosses val="autoZero"/>
        <c:crossBetween val="midCat"/>
      </c:valAx>
      <c:valAx>
        <c:axId val="99480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1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2b8e135-8b14-4483-8c2e-6db068da6720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Histor'!$E$158:$E$210</c:f>
              <c:numCache>
                <c:formatCode>0.00%</c:formatCode>
                <c:ptCount val="53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</c:numCache>
            </c:numRef>
          </c:xVal>
          <c:yVal>
            <c:numRef>
              <c:f>'Kri-Kri Milk Stock Price Histor'!$C$158:$C$210</c:f>
              <c:numCache>
                <c:formatCode>0.00%</c:formatCode>
                <c:ptCount val="53"/>
                <c:pt idx="0">
                  <c:v>4.5199999999999997E-2</c:v>
                </c:pt>
                <c:pt idx="1">
                  <c:v>3.0999999999999999E-3</c:v>
                </c:pt>
                <c:pt idx="2">
                  <c:v>-9.1999999999999998E-3</c:v>
                </c:pt>
                <c:pt idx="3">
                  <c:v>-4.9700000000000001E-2</c:v>
                </c:pt>
                <c:pt idx="4">
                  <c:v>1.3100000000000001E-2</c:v>
                </c:pt>
                <c:pt idx="5">
                  <c:v>-1.61E-2</c:v>
                </c:pt>
                <c:pt idx="6">
                  <c:v>1.9699999999999999E-2</c:v>
                </c:pt>
                <c:pt idx="7">
                  <c:v>1.9300000000000001E-2</c:v>
                </c:pt>
                <c:pt idx="8">
                  <c:v>6.3E-3</c:v>
                </c:pt>
                <c:pt idx="9">
                  <c:v>3.1300000000000001E-2</c:v>
                </c:pt>
                <c:pt idx="10">
                  <c:v>-7.2900000000000006E-2</c:v>
                </c:pt>
                <c:pt idx="11">
                  <c:v>4.9200000000000001E-2</c:v>
                </c:pt>
                <c:pt idx="12">
                  <c:v>-9.4000000000000004E-3</c:v>
                </c:pt>
                <c:pt idx="13">
                  <c:v>-3.2000000000000002E-3</c:v>
                </c:pt>
                <c:pt idx="14">
                  <c:v>2.8500000000000001E-2</c:v>
                </c:pt>
                <c:pt idx="15">
                  <c:v>-6.1999999999999998E-3</c:v>
                </c:pt>
                <c:pt idx="16">
                  <c:v>2.1700000000000001E-2</c:v>
                </c:pt>
                <c:pt idx="17">
                  <c:v>4.8500000000000001E-2</c:v>
                </c:pt>
                <c:pt idx="18">
                  <c:v>2.5999999999999999E-2</c:v>
                </c:pt>
                <c:pt idx="19">
                  <c:v>1.1299999999999999E-2</c:v>
                </c:pt>
                <c:pt idx="20">
                  <c:v>0.13650000000000001</c:v>
                </c:pt>
                <c:pt idx="21">
                  <c:v>-1.9599999999999999E-2</c:v>
                </c:pt>
                <c:pt idx="22">
                  <c:v>7.4999999999999997E-3</c:v>
                </c:pt>
                <c:pt idx="23">
                  <c:v>-1.24E-2</c:v>
                </c:pt>
                <c:pt idx="24">
                  <c:v>-2.5000000000000001E-3</c:v>
                </c:pt>
                <c:pt idx="25">
                  <c:v>2.5000000000000001E-3</c:v>
                </c:pt>
                <c:pt idx="26">
                  <c:v>2.5000000000000001E-3</c:v>
                </c:pt>
                <c:pt idx="27">
                  <c:v>3.0099999999999998E-2</c:v>
                </c:pt>
                <c:pt idx="28">
                  <c:v>1.7000000000000001E-2</c:v>
                </c:pt>
                <c:pt idx="29">
                  <c:v>2.87E-2</c:v>
                </c:pt>
                <c:pt idx="30">
                  <c:v>0</c:v>
                </c:pt>
                <c:pt idx="31">
                  <c:v>-3.0200000000000001E-2</c:v>
                </c:pt>
                <c:pt idx="32">
                  <c:v>-1.6799999999999999E-2</c:v>
                </c:pt>
                <c:pt idx="33">
                  <c:v>2.4400000000000002E-2</c:v>
                </c:pt>
                <c:pt idx="34">
                  <c:v>-1.67E-2</c:v>
                </c:pt>
                <c:pt idx="35">
                  <c:v>-4.5999999999999999E-2</c:v>
                </c:pt>
                <c:pt idx="36">
                  <c:v>-1.0200000000000001E-2</c:v>
                </c:pt>
                <c:pt idx="37">
                  <c:v>2.5999999999999999E-3</c:v>
                </c:pt>
                <c:pt idx="38">
                  <c:v>6.3899999999999998E-2</c:v>
                </c:pt>
                <c:pt idx="39">
                  <c:v>-1.44E-2</c:v>
                </c:pt>
                <c:pt idx="40">
                  <c:v>-3.4099999999999998E-2</c:v>
                </c:pt>
                <c:pt idx="41">
                  <c:v>2.2700000000000001E-2</c:v>
                </c:pt>
                <c:pt idx="42">
                  <c:v>-2.5000000000000001E-3</c:v>
                </c:pt>
                <c:pt idx="43">
                  <c:v>5.0000000000000001E-3</c:v>
                </c:pt>
                <c:pt idx="44">
                  <c:v>5.4199999999999998E-2</c:v>
                </c:pt>
                <c:pt idx="45">
                  <c:v>-7.0000000000000001E-3</c:v>
                </c:pt>
                <c:pt idx="46">
                  <c:v>5.6500000000000002E-2</c:v>
                </c:pt>
                <c:pt idx="47">
                  <c:v>5.1200000000000002E-2</c:v>
                </c:pt>
                <c:pt idx="48">
                  <c:v>-2.0999999999999999E-3</c:v>
                </c:pt>
                <c:pt idx="49">
                  <c:v>8.5000000000000006E-3</c:v>
                </c:pt>
                <c:pt idx="50">
                  <c:v>4.1999999999999997E-3</c:v>
                </c:pt>
                <c:pt idx="51">
                  <c:v>4.1999999999999997E-3</c:v>
                </c:pt>
                <c:pt idx="52">
                  <c:v>2.3E-2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CF-400D-A94D-81A43C212F6A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Histor'!$E$158:$E$210</c:f>
              <c:numCache>
                <c:formatCode>0.00%</c:formatCode>
                <c:ptCount val="53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</c:numCache>
            </c:numRef>
          </c:xVal>
          <c:yVal>
            <c:numRef>
              <c:f>'Beta 2023'!$B$25:$B$77</c:f>
              <c:numCache>
                <c:formatCode>General</c:formatCode>
                <c:ptCount val="53"/>
                <c:pt idx="0">
                  <c:v>1.6695984780840601E-2</c:v>
                </c:pt>
                <c:pt idx="1">
                  <c:v>1.41939491326879E-2</c:v>
                </c:pt>
                <c:pt idx="2">
                  <c:v>1.1100523240426499E-2</c:v>
                </c:pt>
                <c:pt idx="3">
                  <c:v>2.30193112370808E-2</c:v>
                </c:pt>
                <c:pt idx="4">
                  <c:v>1.4148457575448799E-2</c:v>
                </c:pt>
                <c:pt idx="5">
                  <c:v>2.1381615176471899E-2</c:v>
                </c:pt>
                <c:pt idx="6">
                  <c:v>2.08357164896022E-2</c:v>
                </c:pt>
                <c:pt idx="7">
                  <c:v>1.0463641439078601E-2</c:v>
                </c:pt>
                <c:pt idx="8">
                  <c:v>6.6423506309909296E-3</c:v>
                </c:pt>
                <c:pt idx="9">
                  <c:v>-1.7741124049187401E-2</c:v>
                </c:pt>
                <c:pt idx="10">
                  <c:v>-9.4161690744250202E-3</c:v>
                </c:pt>
                <c:pt idx="11">
                  <c:v>6.5513675165126501E-3</c:v>
                </c:pt>
                <c:pt idx="12">
                  <c:v>2.0972191161319601E-2</c:v>
                </c:pt>
                <c:pt idx="13">
                  <c:v>1.44668984761228E-2</c:v>
                </c:pt>
                <c:pt idx="14">
                  <c:v>1.8288189284210402E-2</c:v>
                </c:pt>
                <c:pt idx="15">
                  <c:v>9.5993018515349408E-3</c:v>
                </c:pt>
                <c:pt idx="16">
                  <c:v>-4.6395555643154599E-3</c:v>
                </c:pt>
                <c:pt idx="17">
                  <c:v>1.7059917238753702E-2</c:v>
                </c:pt>
                <c:pt idx="18">
                  <c:v>1.08275738969917E-2</c:v>
                </c:pt>
                <c:pt idx="19">
                  <c:v>9.9632343094480501E-3</c:v>
                </c:pt>
                <c:pt idx="20">
                  <c:v>4.1670849705127702E-2</c:v>
                </c:pt>
                <c:pt idx="21">
                  <c:v>4.9591630131428002E-3</c:v>
                </c:pt>
                <c:pt idx="22">
                  <c:v>2.2473412550211201E-2</c:v>
                </c:pt>
                <c:pt idx="23">
                  <c:v>1.18283881562527E-2</c:v>
                </c:pt>
                <c:pt idx="24">
                  <c:v>2.9575344946206998E-3</c:v>
                </c:pt>
                <c:pt idx="25">
                  <c:v>9.6447934087740793E-3</c:v>
                </c:pt>
                <c:pt idx="26">
                  <c:v>6.0054688296429896E-3</c:v>
                </c:pt>
                <c:pt idx="27">
                  <c:v>2.29283281226026E-2</c:v>
                </c:pt>
                <c:pt idx="28">
                  <c:v>1.07365907825134E-2</c:v>
                </c:pt>
                <c:pt idx="29">
                  <c:v>4.27678965455572E-3</c:v>
                </c:pt>
                <c:pt idx="30">
                  <c:v>1.18336376229429E-3</c:v>
                </c:pt>
                <c:pt idx="31">
                  <c:v>-5.1854542511851299E-3</c:v>
                </c:pt>
                <c:pt idx="32">
                  <c:v>-2.22850303064111E-3</c:v>
                </c:pt>
                <c:pt idx="33">
                  <c:v>1.9198020428993198E-2</c:v>
                </c:pt>
                <c:pt idx="34">
                  <c:v>6.0054688296429896E-3</c:v>
                </c:pt>
                <c:pt idx="35">
                  <c:v>-7.9149476855334498E-3</c:v>
                </c:pt>
                <c:pt idx="36">
                  <c:v>5.7780110434472896E-3</c:v>
                </c:pt>
                <c:pt idx="37">
                  <c:v>-8.6428126013596597E-3</c:v>
                </c:pt>
                <c:pt idx="38">
                  <c:v>2.9575344946206998E-3</c:v>
                </c:pt>
                <c:pt idx="39">
                  <c:v>-2.1152990842122799E-2</c:v>
                </c:pt>
                <c:pt idx="40">
                  <c:v>1.9198020428993198E-2</c:v>
                </c:pt>
                <c:pt idx="41">
                  <c:v>8.1435720198825001E-3</c:v>
                </c:pt>
                <c:pt idx="42">
                  <c:v>7.5976733330128396E-3</c:v>
                </c:pt>
                <c:pt idx="43">
                  <c:v>2.1927513863341502E-2</c:v>
                </c:pt>
                <c:pt idx="44">
                  <c:v>-1.35891397640734E-4</c:v>
                </c:pt>
                <c:pt idx="45">
                  <c:v>2.4020125496341901E-2</c:v>
                </c:pt>
                <c:pt idx="46">
                  <c:v>9.0988947219044092E-3</c:v>
                </c:pt>
                <c:pt idx="47">
                  <c:v>1.3830016674774801E-2</c:v>
                </c:pt>
                <c:pt idx="48">
                  <c:v>4.3222812117948498E-3</c:v>
                </c:pt>
                <c:pt idx="49">
                  <c:v>1.1691913484535301E-2</c:v>
                </c:pt>
                <c:pt idx="50">
                  <c:v>6.1419435013603998E-3</c:v>
                </c:pt>
                <c:pt idx="51">
                  <c:v>6.8698084171866201E-3</c:v>
                </c:pt>
                <c:pt idx="52">
                  <c:v>1.2601744629318099E-2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CF-400D-A94D-81A43C212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571008"/>
        <c:axId val="1005580128"/>
      </c:scatterChart>
      <c:valAx>
        <c:axId val="100557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80128"/>
        <c:crosses val="autoZero"/>
        <c:crossBetween val="midCat"/>
      </c:valAx>
      <c:valAx>
        <c:axId val="10055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71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a28651d-1eb6-4df2-8c1f-09af34a171f9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2024</a:t>
            </a:r>
          </a:p>
        </c:rich>
      </c:tx>
      <c:layout>
        <c:manualLayout>
          <c:xMode val="edge"/>
          <c:yMode val="edge"/>
          <c:x val="0.34765300059417698"/>
          <c:y val="1.13571834185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Histor'!$E$158:$E$262</c:f>
              <c:numCache>
                <c:formatCode>0.00%</c:formatCode>
                <c:ptCount val="105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  <c:pt idx="53">
                  <c:v>3.1199999999999999E-2</c:v>
                </c:pt>
                <c:pt idx="54">
                  <c:v>-9.2999999999999992E-3</c:v>
                </c:pt>
                <c:pt idx="55">
                  <c:v>1.5599999999999999E-2</c:v>
                </c:pt>
                <c:pt idx="56">
                  <c:v>1.77E-2</c:v>
                </c:pt>
                <c:pt idx="57">
                  <c:v>1.1599999999999999E-2</c:v>
                </c:pt>
                <c:pt idx="58">
                  <c:v>3.0999999999999999E-3</c:v>
                </c:pt>
                <c:pt idx="59">
                  <c:v>5.7000000000000002E-3</c:v>
                </c:pt>
                <c:pt idx="60">
                  <c:v>6.7000000000000002E-3</c:v>
                </c:pt>
                <c:pt idx="61">
                  <c:v>3.0000000000000001E-3</c:v>
                </c:pt>
                <c:pt idx="62">
                  <c:v>-3.5000000000000001E-3</c:v>
                </c:pt>
                <c:pt idx="63">
                  <c:v>2.2000000000000001E-3</c:v>
                </c:pt>
                <c:pt idx="64">
                  <c:v>-2E-3</c:v>
                </c:pt>
                <c:pt idx="65">
                  <c:v>-2.7300000000000001E-2</c:v>
                </c:pt>
                <c:pt idx="66">
                  <c:v>1.24E-2</c:v>
                </c:pt>
                <c:pt idx="67">
                  <c:v>-5.7000000000000002E-3</c:v>
                </c:pt>
                <c:pt idx="68">
                  <c:v>4.48E-2</c:v>
                </c:pt>
                <c:pt idx="69">
                  <c:v>-1.9E-3</c:v>
                </c:pt>
                <c:pt idx="70">
                  <c:v>2.1899999999999999E-2</c:v>
                </c:pt>
                <c:pt idx="71">
                  <c:v>4.3E-3</c:v>
                </c:pt>
                <c:pt idx="72">
                  <c:v>-8.6E-3</c:v>
                </c:pt>
                <c:pt idx="73">
                  <c:v>-3.1E-2</c:v>
                </c:pt>
                <c:pt idx="74">
                  <c:v>1.8499999999999999E-2</c:v>
                </c:pt>
                <c:pt idx="75">
                  <c:v>-3.5299999999999998E-2</c:v>
                </c:pt>
                <c:pt idx="76">
                  <c:v>1.2200000000000001E-2</c:v>
                </c:pt>
                <c:pt idx="77">
                  <c:v>-1.3899999999999999E-2</c:v>
                </c:pt>
                <c:pt idx="78">
                  <c:v>2.58E-2</c:v>
                </c:pt>
                <c:pt idx="79">
                  <c:v>8.2000000000000007E-3</c:v>
                </c:pt>
                <c:pt idx="80">
                  <c:v>8.3000000000000001E-3</c:v>
                </c:pt>
                <c:pt idx="81">
                  <c:v>3.3E-3</c:v>
                </c:pt>
                <c:pt idx="82">
                  <c:v>-2.6100000000000002E-2</c:v>
                </c:pt>
                <c:pt idx="83">
                  <c:v>-3.3300000000000003E-2</c:v>
                </c:pt>
                <c:pt idx="84">
                  <c:v>3.5099999999999999E-2</c:v>
                </c:pt>
                <c:pt idx="85">
                  <c:v>5.0000000000000001E-4</c:v>
                </c:pt>
                <c:pt idx="86">
                  <c:v>-1E-3</c:v>
                </c:pt>
                <c:pt idx="87">
                  <c:v>8.3000000000000001E-3</c:v>
                </c:pt>
                <c:pt idx="88">
                  <c:v>-1.66E-2</c:v>
                </c:pt>
                <c:pt idx="89">
                  <c:v>4.1999999999999997E-3</c:v>
                </c:pt>
                <c:pt idx="90">
                  <c:v>3.0499999999999999E-2</c:v>
                </c:pt>
                <c:pt idx="91">
                  <c:v>-2.1000000000000001E-2</c:v>
                </c:pt>
                <c:pt idx="92">
                  <c:v>-1.47E-2</c:v>
                </c:pt>
                <c:pt idx="93">
                  <c:v>1.89E-2</c:v>
                </c:pt>
                <c:pt idx="94">
                  <c:v>-3.6900000000000002E-2</c:v>
                </c:pt>
                <c:pt idx="95">
                  <c:v>2.0000000000000001E-4</c:v>
                </c:pt>
                <c:pt idx="96">
                  <c:v>1.6299999999999999E-2</c:v>
                </c:pt>
                <c:pt idx="97">
                  <c:v>-6.6E-3</c:v>
                </c:pt>
                <c:pt idx="98">
                  <c:v>-1.6000000000000001E-3</c:v>
                </c:pt>
                <c:pt idx="99">
                  <c:v>-5.7999999999999996E-3</c:v>
                </c:pt>
                <c:pt idx="100">
                  <c:v>4.5199999999999997E-2</c:v>
                </c:pt>
                <c:pt idx="101">
                  <c:v>8.8000000000000005E-3</c:v>
                </c:pt>
                <c:pt idx="102">
                  <c:v>-1.14E-2</c:v>
                </c:pt>
                <c:pt idx="103">
                  <c:v>3.3999999999999998E-3</c:v>
                </c:pt>
                <c:pt idx="104">
                  <c:v>2.0199999999999999E-2</c:v>
                </c:pt>
              </c:numCache>
            </c:numRef>
          </c:xVal>
          <c:yVal>
            <c:numRef>
              <c:f>'Kri-Kri Milk Stock Price Histor'!$C$158:$C$262</c:f>
              <c:numCache>
                <c:formatCode>0.00%</c:formatCode>
                <c:ptCount val="105"/>
                <c:pt idx="0">
                  <c:v>4.5199999999999997E-2</c:v>
                </c:pt>
                <c:pt idx="1">
                  <c:v>3.0999999999999999E-3</c:v>
                </c:pt>
                <c:pt idx="2">
                  <c:v>-9.1999999999999998E-3</c:v>
                </c:pt>
                <c:pt idx="3">
                  <c:v>-4.9700000000000001E-2</c:v>
                </c:pt>
                <c:pt idx="4">
                  <c:v>1.3100000000000001E-2</c:v>
                </c:pt>
                <c:pt idx="5">
                  <c:v>-1.61E-2</c:v>
                </c:pt>
                <c:pt idx="6">
                  <c:v>1.9699999999999999E-2</c:v>
                </c:pt>
                <c:pt idx="7">
                  <c:v>1.9300000000000001E-2</c:v>
                </c:pt>
                <c:pt idx="8">
                  <c:v>6.3E-3</c:v>
                </c:pt>
                <c:pt idx="9">
                  <c:v>3.1300000000000001E-2</c:v>
                </c:pt>
                <c:pt idx="10">
                  <c:v>-7.2900000000000006E-2</c:v>
                </c:pt>
                <c:pt idx="11">
                  <c:v>4.9200000000000001E-2</c:v>
                </c:pt>
                <c:pt idx="12">
                  <c:v>-9.4000000000000004E-3</c:v>
                </c:pt>
                <c:pt idx="13">
                  <c:v>-3.2000000000000002E-3</c:v>
                </c:pt>
                <c:pt idx="14">
                  <c:v>2.8500000000000001E-2</c:v>
                </c:pt>
                <c:pt idx="15">
                  <c:v>-6.1999999999999998E-3</c:v>
                </c:pt>
                <c:pt idx="16">
                  <c:v>2.1700000000000001E-2</c:v>
                </c:pt>
                <c:pt idx="17">
                  <c:v>4.8500000000000001E-2</c:v>
                </c:pt>
                <c:pt idx="18">
                  <c:v>2.5999999999999999E-2</c:v>
                </c:pt>
                <c:pt idx="19">
                  <c:v>1.1299999999999999E-2</c:v>
                </c:pt>
                <c:pt idx="20">
                  <c:v>0.13650000000000001</c:v>
                </c:pt>
                <c:pt idx="21">
                  <c:v>-1.9599999999999999E-2</c:v>
                </c:pt>
                <c:pt idx="22">
                  <c:v>7.4999999999999997E-3</c:v>
                </c:pt>
                <c:pt idx="23">
                  <c:v>-1.24E-2</c:v>
                </c:pt>
                <c:pt idx="24">
                  <c:v>-2.5000000000000001E-3</c:v>
                </c:pt>
                <c:pt idx="25">
                  <c:v>2.5000000000000001E-3</c:v>
                </c:pt>
                <c:pt idx="26">
                  <c:v>2.5000000000000001E-3</c:v>
                </c:pt>
                <c:pt idx="27">
                  <c:v>3.0099999999999998E-2</c:v>
                </c:pt>
                <c:pt idx="28">
                  <c:v>1.7000000000000001E-2</c:v>
                </c:pt>
                <c:pt idx="29">
                  <c:v>2.87E-2</c:v>
                </c:pt>
                <c:pt idx="30">
                  <c:v>0</c:v>
                </c:pt>
                <c:pt idx="31">
                  <c:v>-3.0200000000000001E-2</c:v>
                </c:pt>
                <c:pt idx="32">
                  <c:v>-1.6799999999999999E-2</c:v>
                </c:pt>
                <c:pt idx="33">
                  <c:v>2.4400000000000002E-2</c:v>
                </c:pt>
                <c:pt idx="34">
                  <c:v>-1.67E-2</c:v>
                </c:pt>
                <c:pt idx="35">
                  <c:v>-4.5999999999999999E-2</c:v>
                </c:pt>
                <c:pt idx="36">
                  <c:v>-1.0200000000000001E-2</c:v>
                </c:pt>
                <c:pt idx="37">
                  <c:v>2.5999999999999999E-3</c:v>
                </c:pt>
                <c:pt idx="38">
                  <c:v>6.3899999999999998E-2</c:v>
                </c:pt>
                <c:pt idx="39">
                  <c:v>-1.44E-2</c:v>
                </c:pt>
                <c:pt idx="40">
                  <c:v>-3.4099999999999998E-2</c:v>
                </c:pt>
                <c:pt idx="41">
                  <c:v>2.2700000000000001E-2</c:v>
                </c:pt>
                <c:pt idx="42">
                  <c:v>-2.5000000000000001E-3</c:v>
                </c:pt>
                <c:pt idx="43">
                  <c:v>5.0000000000000001E-3</c:v>
                </c:pt>
                <c:pt idx="44">
                  <c:v>5.4199999999999998E-2</c:v>
                </c:pt>
                <c:pt idx="45">
                  <c:v>-7.0000000000000001E-3</c:v>
                </c:pt>
                <c:pt idx="46">
                  <c:v>5.6500000000000002E-2</c:v>
                </c:pt>
                <c:pt idx="47">
                  <c:v>5.1200000000000002E-2</c:v>
                </c:pt>
                <c:pt idx="48">
                  <c:v>-2.0999999999999999E-3</c:v>
                </c:pt>
                <c:pt idx="49">
                  <c:v>8.5000000000000006E-3</c:v>
                </c:pt>
                <c:pt idx="50">
                  <c:v>4.1999999999999997E-3</c:v>
                </c:pt>
                <c:pt idx="51">
                  <c:v>4.1999999999999997E-3</c:v>
                </c:pt>
                <c:pt idx="52">
                  <c:v>2.3E-2</c:v>
                </c:pt>
                <c:pt idx="53">
                  <c:v>8.2000000000000007E-3</c:v>
                </c:pt>
                <c:pt idx="54">
                  <c:v>4.0000000000000001E-3</c:v>
                </c:pt>
                <c:pt idx="55">
                  <c:v>-4.0000000000000001E-3</c:v>
                </c:pt>
                <c:pt idx="56">
                  <c:v>2E-3</c:v>
                </c:pt>
                <c:pt idx="57">
                  <c:v>0</c:v>
                </c:pt>
                <c:pt idx="58">
                  <c:v>0</c:v>
                </c:pt>
                <c:pt idx="59">
                  <c:v>6.5699999999999995E-2</c:v>
                </c:pt>
                <c:pt idx="60">
                  <c:v>2.8400000000000002E-2</c:v>
                </c:pt>
                <c:pt idx="61">
                  <c:v>9.1999999999999998E-3</c:v>
                </c:pt>
                <c:pt idx="62">
                  <c:v>9.5899999999999999E-2</c:v>
                </c:pt>
                <c:pt idx="63">
                  <c:v>-1.67E-2</c:v>
                </c:pt>
                <c:pt idx="64">
                  <c:v>-8.5000000000000006E-3</c:v>
                </c:pt>
                <c:pt idx="65">
                  <c:v>-6.8400000000000002E-2</c:v>
                </c:pt>
                <c:pt idx="66">
                  <c:v>3.6700000000000003E-2</c:v>
                </c:pt>
                <c:pt idx="67">
                  <c:v>-8.8000000000000005E-3</c:v>
                </c:pt>
                <c:pt idx="68">
                  <c:v>-2.23E-2</c:v>
                </c:pt>
                <c:pt idx="69">
                  <c:v>-3.2000000000000001E-2</c:v>
                </c:pt>
                <c:pt idx="70">
                  <c:v>4.7000000000000002E-3</c:v>
                </c:pt>
                <c:pt idx="71">
                  <c:v>3.2899999999999999E-2</c:v>
                </c:pt>
                <c:pt idx="72">
                  <c:v>2.7300000000000001E-2</c:v>
                </c:pt>
                <c:pt idx="73">
                  <c:v>-1.3299999999999999E-2</c:v>
                </c:pt>
                <c:pt idx="74">
                  <c:v>-1.35E-2</c:v>
                </c:pt>
                <c:pt idx="75">
                  <c:v>-4.5499999999999999E-2</c:v>
                </c:pt>
                <c:pt idx="76">
                  <c:v>1.43E-2</c:v>
                </c:pt>
                <c:pt idx="77">
                  <c:v>6.5699999999999995E-2</c:v>
                </c:pt>
                <c:pt idx="78">
                  <c:v>2.1999999999999999E-2</c:v>
                </c:pt>
                <c:pt idx="79">
                  <c:v>-8.6E-3</c:v>
                </c:pt>
                <c:pt idx="80">
                  <c:v>-8.6999999999999994E-3</c:v>
                </c:pt>
                <c:pt idx="81">
                  <c:v>1.32E-2</c:v>
                </c:pt>
                <c:pt idx="82">
                  <c:v>-4.3299999999999998E-2</c:v>
                </c:pt>
                <c:pt idx="83">
                  <c:v>3.1699999999999999E-2</c:v>
                </c:pt>
                <c:pt idx="84">
                  <c:v>5.2600000000000001E-2</c:v>
                </c:pt>
                <c:pt idx="85">
                  <c:v>2.5000000000000001E-2</c:v>
                </c:pt>
                <c:pt idx="86">
                  <c:v>-8.0999999999999996E-3</c:v>
                </c:pt>
                <c:pt idx="87">
                  <c:v>1.23E-2</c:v>
                </c:pt>
                <c:pt idx="88">
                  <c:v>4.0000000000000001E-3</c:v>
                </c:pt>
                <c:pt idx="89">
                  <c:v>5.6500000000000002E-2</c:v>
                </c:pt>
                <c:pt idx="90">
                  <c:v>2.6700000000000002E-2</c:v>
                </c:pt>
                <c:pt idx="91">
                  <c:v>-2.5999999999999999E-2</c:v>
                </c:pt>
                <c:pt idx="92">
                  <c:v>7.6E-3</c:v>
                </c:pt>
                <c:pt idx="93">
                  <c:v>-3.8E-3</c:v>
                </c:pt>
                <c:pt idx="94">
                  <c:v>6.08E-2</c:v>
                </c:pt>
                <c:pt idx="95">
                  <c:v>-2.5100000000000001E-2</c:v>
                </c:pt>
                <c:pt idx="96">
                  <c:v>3.6799999999999999E-2</c:v>
                </c:pt>
                <c:pt idx="97">
                  <c:v>2.1299999999999999E-2</c:v>
                </c:pt>
                <c:pt idx="98">
                  <c:v>-6.8999999999999999E-3</c:v>
                </c:pt>
                <c:pt idx="99">
                  <c:v>0</c:v>
                </c:pt>
                <c:pt idx="100">
                  <c:v>6.6400000000000001E-2</c:v>
                </c:pt>
                <c:pt idx="101">
                  <c:v>-3.3E-3</c:v>
                </c:pt>
                <c:pt idx="102">
                  <c:v>9.9000000000000008E-3</c:v>
                </c:pt>
                <c:pt idx="103">
                  <c:v>-2.2800000000000001E-2</c:v>
                </c:pt>
                <c:pt idx="104">
                  <c:v>3.6700000000000003E-2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05-46E8-A816-9DD45D02951A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Histor'!$E$158:$E$262</c:f>
              <c:numCache>
                <c:formatCode>0.00%</c:formatCode>
                <c:ptCount val="105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  <c:pt idx="53">
                  <c:v>3.1199999999999999E-2</c:v>
                </c:pt>
                <c:pt idx="54">
                  <c:v>-9.2999999999999992E-3</c:v>
                </c:pt>
                <c:pt idx="55">
                  <c:v>1.5599999999999999E-2</c:v>
                </c:pt>
                <c:pt idx="56">
                  <c:v>1.77E-2</c:v>
                </c:pt>
                <c:pt idx="57">
                  <c:v>1.1599999999999999E-2</c:v>
                </c:pt>
                <c:pt idx="58">
                  <c:v>3.0999999999999999E-3</c:v>
                </c:pt>
                <c:pt idx="59">
                  <c:v>5.7000000000000002E-3</c:v>
                </c:pt>
                <c:pt idx="60">
                  <c:v>6.7000000000000002E-3</c:v>
                </c:pt>
                <c:pt idx="61">
                  <c:v>3.0000000000000001E-3</c:v>
                </c:pt>
                <c:pt idx="62">
                  <c:v>-3.5000000000000001E-3</c:v>
                </c:pt>
                <c:pt idx="63">
                  <c:v>2.2000000000000001E-3</c:v>
                </c:pt>
                <c:pt idx="64">
                  <c:v>-2E-3</c:v>
                </c:pt>
                <c:pt idx="65">
                  <c:v>-2.7300000000000001E-2</c:v>
                </c:pt>
                <c:pt idx="66">
                  <c:v>1.24E-2</c:v>
                </c:pt>
                <c:pt idx="67">
                  <c:v>-5.7000000000000002E-3</c:v>
                </c:pt>
                <c:pt idx="68">
                  <c:v>4.48E-2</c:v>
                </c:pt>
                <c:pt idx="69">
                  <c:v>-1.9E-3</c:v>
                </c:pt>
                <c:pt idx="70">
                  <c:v>2.1899999999999999E-2</c:v>
                </c:pt>
                <c:pt idx="71">
                  <c:v>4.3E-3</c:v>
                </c:pt>
                <c:pt idx="72">
                  <c:v>-8.6E-3</c:v>
                </c:pt>
                <c:pt idx="73">
                  <c:v>-3.1E-2</c:v>
                </c:pt>
                <c:pt idx="74">
                  <c:v>1.8499999999999999E-2</c:v>
                </c:pt>
                <c:pt idx="75">
                  <c:v>-3.5299999999999998E-2</c:v>
                </c:pt>
                <c:pt idx="76">
                  <c:v>1.2200000000000001E-2</c:v>
                </c:pt>
                <c:pt idx="77">
                  <c:v>-1.3899999999999999E-2</c:v>
                </c:pt>
                <c:pt idx="78">
                  <c:v>2.58E-2</c:v>
                </c:pt>
                <c:pt idx="79">
                  <c:v>8.2000000000000007E-3</c:v>
                </c:pt>
                <c:pt idx="80">
                  <c:v>8.3000000000000001E-3</c:v>
                </c:pt>
                <c:pt idx="81">
                  <c:v>3.3E-3</c:v>
                </c:pt>
                <c:pt idx="82">
                  <c:v>-2.6100000000000002E-2</c:v>
                </c:pt>
                <c:pt idx="83">
                  <c:v>-3.3300000000000003E-2</c:v>
                </c:pt>
                <c:pt idx="84">
                  <c:v>3.5099999999999999E-2</c:v>
                </c:pt>
                <c:pt idx="85">
                  <c:v>5.0000000000000001E-4</c:v>
                </c:pt>
                <c:pt idx="86">
                  <c:v>-1E-3</c:v>
                </c:pt>
                <c:pt idx="87">
                  <c:v>8.3000000000000001E-3</c:v>
                </c:pt>
                <c:pt idx="88">
                  <c:v>-1.66E-2</c:v>
                </c:pt>
                <c:pt idx="89">
                  <c:v>4.1999999999999997E-3</c:v>
                </c:pt>
                <c:pt idx="90">
                  <c:v>3.0499999999999999E-2</c:v>
                </c:pt>
                <c:pt idx="91">
                  <c:v>-2.1000000000000001E-2</c:v>
                </c:pt>
                <c:pt idx="92">
                  <c:v>-1.47E-2</c:v>
                </c:pt>
                <c:pt idx="93">
                  <c:v>1.89E-2</c:v>
                </c:pt>
                <c:pt idx="94">
                  <c:v>-3.6900000000000002E-2</c:v>
                </c:pt>
                <c:pt idx="95">
                  <c:v>2.0000000000000001E-4</c:v>
                </c:pt>
                <c:pt idx="96">
                  <c:v>1.6299999999999999E-2</c:v>
                </c:pt>
                <c:pt idx="97">
                  <c:v>-6.6E-3</c:v>
                </c:pt>
                <c:pt idx="98">
                  <c:v>-1.6000000000000001E-3</c:v>
                </c:pt>
                <c:pt idx="99">
                  <c:v>-5.7999999999999996E-3</c:v>
                </c:pt>
                <c:pt idx="100">
                  <c:v>4.5199999999999997E-2</c:v>
                </c:pt>
                <c:pt idx="101">
                  <c:v>8.8000000000000005E-3</c:v>
                </c:pt>
                <c:pt idx="102">
                  <c:v>-1.14E-2</c:v>
                </c:pt>
                <c:pt idx="103">
                  <c:v>3.3999999999999998E-3</c:v>
                </c:pt>
                <c:pt idx="104">
                  <c:v>2.0199999999999999E-2</c:v>
                </c:pt>
              </c:numCache>
            </c:numRef>
          </c:xVal>
          <c:yVal>
            <c:numRef>
              <c:f>'Beta 2024'!$B$25:$B$129</c:f>
              <c:numCache>
                <c:formatCode>General</c:formatCode>
                <c:ptCount val="105"/>
                <c:pt idx="0">
                  <c:v>1.7235512941028899E-2</c:v>
                </c:pt>
                <c:pt idx="1">
                  <c:v>1.4885698097115299E-2</c:v>
                </c:pt>
                <c:pt idx="2">
                  <c:v>1.19804724719131E-2</c:v>
                </c:pt>
                <c:pt idx="3">
                  <c:v>2.3174135910192298E-2</c:v>
                </c:pt>
                <c:pt idx="4">
                  <c:v>1.48429741908623E-2</c:v>
                </c:pt>
                <c:pt idx="5">
                  <c:v>2.16360752850852E-2</c:v>
                </c:pt>
                <c:pt idx="6">
                  <c:v>2.1123388410049501E-2</c:v>
                </c:pt>
                <c:pt idx="7">
                  <c:v>1.13823377843714E-2</c:v>
                </c:pt>
                <c:pt idx="8">
                  <c:v>7.7935296591215798E-3</c:v>
                </c:pt>
                <c:pt idx="9">
                  <c:v>-1.5106484092472601E-2</c:v>
                </c:pt>
                <c:pt idx="10">
                  <c:v>-7.2880092481783197E-3</c:v>
                </c:pt>
                <c:pt idx="11">
                  <c:v>7.7080818466156303E-3</c:v>
                </c:pt>
                <c:pt idx="12">
                  <c:v>2.1251560128808501E-2</c:v>
                </c:pt>
                <c:pt idx="13">
                  <c:v>1.51420415346331E-2</c:v>
                </c:pt>
                <c:pt idx="14">
                  <c:v>1.8730849659883E-2</c:v>
                </c:pt>
                <c:pt idx="15">
                  <c:v>1.05705835655649E-2</c:v>
                </c:pt>
                <c:pt idx="16">
                  <c:v>-2.8019990916160302E-3</c:v>
                </c:pt>
                <c:pt idx="17">
                  <c:v>1.75773041910527E-2</c:v>
                </c:pt>
                <c:pt idx="18">
                  <c:v>1.17241290343952E-2</c:v>
                </c:pt>
                <c:pt idx="19">
                  <c:v>1.09123748155887E-2</c:v>
                </c:pt>
                <c:pt idx="20">
                  <c:v>4.0690937473911698E-2</c:v>
                </c:pt>
                <c:pt idx="21">
                  <c:v>6.2127451277615301E-3</c:v>
                </c:pt>
                <c:pt idx="22">
                  <c:v>2.26614490351566E-2</c:v>
                </c:pt>
                <c:pt idx="23">
                  <c:v>1.26640549719606E-2</c:v>
                </c:pt>
                <c:pt idx="24">
                  <c:v>4.3328932526306698E-3</c:v>
                </c:pt>
                <c:pt idx="25">
                  <c:v>1.06133074718179E-2</c:v>
                </c:pt>
                <c:pt idx="26">
                  <c:v>7.1953949715799397E-3</c:v>
                </c:pt>
                <c:pt idx="27">
                  <c:v>2.30886880976863E-2</c:v>
                </c:pt>
                <c:pt idx="28">
                  <c:v>1.16386812218893E-2</c:v>
                </c:pt>
                <c:pt idx="29">
                  <c:v>5.57188653396692E-3</c:v>
                </c:pt>
                <c:pt idx="30">
                  <c:v>2.6666609087646698E-3</c:v>
                </c:pt>
                <c:pt idx="31">
                  <c:v>-3.31468596665172E-3</c:v>
                </c:pt>
                <c:pt idx="32">
                  <c:v>-5.3763206020839298E-4</c:v>
                </c:pt>
                <c:pt idx="33">
                  <c:v>1.9585327784942499E-2</c:v>
                </c:pt>
                <c:pt idx="34">
                  <c:v>7.1953949715799397E-3</c:v>
                </c:pt>
                <c:pt idx="35">
                  <c:v>-5.8781203418301698E-3</c:v>
                </c:pt>
                <c:pt idx="36">
                  <c:v>6.98177544031507E-3</c:v>
                </c:pt>
                <c:pt idx="37">
                  <c:v>-6.5617028418777602E-3</c:v>
                </c:pt>
                <c:pt idx="38">
                  <c:v>4.3328932526306698E-3</c:v>
                </c:pt>
                <c:pt idx="39">
                  <c:v>-1.83107770614457E-2</c:v>
                </c:pt>
                <c:pt idx="40">
                  <c:v>1.9585327784942499E-2</c:v>
                </c:pt>
                <c:pt idx="41">
                  <c:v>9.2034185654697297E-3</c:v>
                </c:pt>
                <c:pt idx="42">
                  <c:v>8.69073169043404E-3</c:v>
                </c:pt>
                <c:pt idx="43">
                  <c:v>2.2148762160120902E-2</c:v>
                </c:pt>
                <c:pt idx="44">
                  <c:v>1.4276676274284201E-3</c:v>
                </c:pt>
                <c:pt idx="45">
                  <c:v>2.41140618477577E-2</c:v>
                </c:pt>
                <c:pt idx="46">
                  <c:v>1.0100620596782199E-2</c:v>
                </c:pt>
                <c:pt idx="47">
                  <c:v>1.45439068470915E-2</c:v>
                </c:pt>
                <c:pt idx="48">
                  <c:v>5.6146104402199004E-3</c:v>
                </c:pt>
                <c:pt idx="49">
                  <c:v>1.25358832532017E-2</c:v>
                </c:pt>
                <c:pt idx="50">
                  <c:v>7.32356669033886E-3</c:v>
                </c:pt>
                <c:pt idx="51">
                  <c:v>8.0071491903864495E-3</c:v>
                </c:pt>
                <c:pt idx="52">
                  <c:v>1.33903613782612E-2</c:v>
                </c:pt>
                <c:pt idx="53">
                  <c:v>2.0610701535013799E-2</c:v>
                </c:pt>
                <c:pt idx="54">
                  <c:v>3.3075195025592898E-3</c:v>
                </c:pt>
                <c:pt idx="55">
                  <c:v>1.39457721595499E-2</c:v>
                </c:pt>
                <c:pt idx="56">
                  <c:v>1.48429741908623E-2</c:v>
                </c:pt>
                <c:pt idx="57">
                  <c:v>1.22368159094309E-2</c:v>
                </c:pt>
                <c:pt idx="58">
                  <c:v>8.6052838779280896E-3</c:v>
                </c:pt>
                <c:pt idx="59">
                  <c:v>9.7161054405054195E-3</c:v>
                </c:pt>
                <c:pt idx="60">
                  <c:v>1.0143344503035201E-2</c:v>
                </c:pt>
                <c:pt idx="61">
                  <c:v>8.5625599716751197E-3</c:v>
                </c:pt>
                <c:pt idx="62">
                  <c:v>5.7855060652317897E-3</c:v>
                </c:pt>
                <c:pt idx="63">
                  <c:v>8.2207687216513201E-3</c:v>
                </c:pt>
                <c:pt idx="64">
                  <c:v>6.4263646590264102E-3</c:v>
                </c:pt>
                <c:pt idx="65">
                  <c:v>-4.3827836229760704E-3</c:v>
                </c:pt>
                <c:pt idx="66">
                  <c:v>1.25786071594547E-2</c:v>
                </c:pt>
                <c:pt idx="67">
                  <c:v>4.8455801276663596E-3</c:v>
                </c:pt>
                <c:pt idx="68">
                  <c:v>2.64211527854183E-2</c:v>
                </c:pt>
                <c:pt idx="69">
                  <c:v>6.4690885652793802E-3</c:v>
                </c:pt>
                <c:pt idx="70">
                  <c:v>1.6637378253487201E-2</c:v>
                </c:pt>
                <c:pt idx="71">
                  <c:v>9.1179707529637794E-3</c:v>
                </c:pt>
                <c:pt idx="72">
                  <c:v>3.6065868463301099E-3</c:v>
                </c:pt>
                <c:pt idx="73">
                  <c:v>-5.9635681543361201E-3</c:v>
                </c:pt>
                <c:pt idx="74">
                  <c:v>1.51847654408861E-2</c:v>
                </c:pt>
                <c:pt idx="75">
                  <c:v>-7.8006961232140104E-3</c:v>
                </c:pt>
                <c:pt idx="76">
                  <c:v>1.2493159346948699E-2</c:v>
                </c:pt>
                <c:pt idx="77">
                  <c:v>1.34221981492247E-3</c:v>
                </c:pt>
                <c:pt idx="78">
                  <c:v>1.83036105973532E-2</c:v>
                </c:pt>
                <c:pt idx="79">
                  <c:v>1.07842030968298E-2</c:v>
                </c:pt>
                <c:pt idx="80">
                  <c:v>1.0826927003082701E-2</c:v>
                </c:pt>
                <c:pt idx="81">
                  <c:v>8.69073169043404E-3</c:v>
                </c:pt>
                <c:pt idx="82">
                  <c:v>-3.8700967479403802E-3</c:v>
                </c:pt>
                <c:pt idx="83">
                  <c:v>-6.9462179981545297E-3</c:v>
                </c:pt>
                <c:pt idx="84">
                  <c:v>2.2276933878879801E-2</c:v>
                </c:pt>
                <c:pt idx="85">
                  <c:v>7.4944623153507597E-3</c:v>
                </c:pt>
                <c:pt idx="86">
                  <c:v>6.8536037215561497E-3</c:v>
                </c:pt>
                <c:pt idx="87">
                  <c:v>1.0826927003082701E-2</c:v>
                </c:pt>
                <c:pt idx="88">
                  <c:v>1.8867434609216901E-4</c:v>
                </c:pt>
                <c:pt idx="89">
                  <c:v>9.0752468467108095E-3</c:v>
                </c:pt>
                <c:pt idx="90">
                  <c:v>2.0311634191242999E-2</c:v>
                </c:pt>
                <c:pt idx="91">
                  <c:v>-1.6911775290387001E-3</c:v>
                </c:pt>
                <c:pt idx="92">
                  <c:v>1.00042856489868E-3</c:v>
                </c:pt>
                <c:pt idx="93">
                  <c:v>1.5355661065898E-2</c:v>
                </c:pt>
                <c:pt idx="94">
                  <c:v>-8.4842786232615999E-3</c:v>
                </c:pt>
                <c:pt idx="95">
                  <c:v>7.3662905965918403E-3</c:v>
                </c:pt>
                <c:pt idx="96">
                  <c:v>1.42448395033207E-2</c:v>
                </c:pt>
                <c:pt idx="97">
                  <c:v>4.4610649713895901E-3</c:v>
                </c:pt>
                <c:pt idx="98">
                  <c:v>6.5972602840382996E-3</c:v>
                </c:pt>
                <c:pt idx="99">
                  <c:v>4.8028562214133897E-3</c:v>
                </c:pt>
                <c:pt idx="100">
                  <c:v>2.65920484104302E-2</c:v>
                </c:pt>
                <c:pt idx="101">
                  <c:v>1.1040546534347599E-2</c:v>
                </c:pt>
                <c:pt idx="102">
                  <c:v>2.4103174712468301E-3</c:v>
                </c:pt>
                <c:pt idx="103">
                  <c:v>8.7334555966870099E-3</c:v>
                </c:pt>
                <c:pt idx="104">
                  <c:v>1.5911071847186702E-2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05-46E8-A816-9DD45D029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621888"/>
        <c:axId val="1005619968"/>
      </c:scatterChart>
      <c:valAx>
        <c:axId val="100562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619968"/>
        <c:crosses val="autoZero"/>
        <c:crossBetween val="midCat"/>
      </c:valAx>
      <c:valAx>
        <c:axId val="100561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621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9db09b-9f5f-4c29-a7e6-7a3c734a4b0a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487680</xdr:colOff>
      <xdr:row>0</xdr:row>
      <xdr:rowOff>22860</xdr:rowOff>
    </xdr:from>
    <xdr:to>
      <xdr:col>16</xdr:col>
      <xdr:colOff>15240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30480</xdr:rowOff>
    </xdr:from>
    <xdr:to>
      <xdr:col>21</xdr:col>
      <xdr:colOff>144780</xdr:colOff>
      <xdr:row>22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54236</xdr:colOff>
      <xdr:row>0</xdr:row>
      <xdr:rowOff>0</xdr:rowOff>
    </xdr:from>
    <xdr:to>
      <xdr:col>19</xdr:col>
      <xdr:colOff>442856</xdr:colOff>
      <xdr:row>20</xdr:row>
      <xdr:rowOff>57374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160020</xdr:colOff>
      <xdr:row>0</xdr:row>
      <xdr:rowOff>22860</xdr:rowOff>
    </xdr:from>
    <xdr:to>
      <xdr:col>21</xdr:col>
      <xdr:colOff>68580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0</xdr:row>
      <xdr:rowOff>45720</xdr:rowOff>
    </xdr:from>
    <xdr:to>
      <xdr:col>19</xdr:col>
      <xdr:colOff>213360</xdr:colOff>
      <xdr:row>18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</xdr:colOff>
      <xdr:row>0</xdr:row>
      <xdr:rowOff>68580</xdr:rowOff>
    </xdr:from>
    <xdr:to>
      <xdr:col>21</xdr:col>
      <xdr:colOff>99060</xdr:colOff>
      <xdr:row>22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0</xdr:row>
      <xdr:rowOff>0</xdr:rowOff>
    </xdr:from>
    <xdr:to>
      <xdr:col>23</xdr:col>
      <xdr:colOff>22860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2"/>
  <sheetViews>
    <sheetView topLeftCell="J1" zoomScale="99" workbookViewId="0">
      <selection activeCell="R12" sqref="R12"/>
    </sheetView>
  </sheetViews>
  <sheetFormatPr defaultColWidth="9" defaultRowHeight="14.4" x14ac:dyDescent="0.25"/>
  <cols>
    <col min="1" max="1" width="11.88671875" customWidth="1"/>
    <col min="2" max="2" width="15.21875" customWidth="1"/>
    <col min="3" max="3" width="9.6640625" customWidth="1"/>
    <col min="4" max="4" width="9.44140625" style="20" customWidth="1"/>
    <col min="5" max="5" width="9.5546875" style="20" customWidth="1"/>
    <col min="8" max="8" width="12.44140625" customWidth="1"/>
    <col min="9" max="9" width="17.77734375" customWidth="1"/>
    <col min="10" max="10" width="15.109375" customWidth="1"/>
  </cols>
  <sheetData>
    <row r="1" spans="1:5" x14ac:dyDescent="0.25">
      <c r="A1" t="s">
        <v>0</v>
      </c>
      <c r="B1" t="s">
        <v>1</v>
      </c>
      <c r="C1" t="s">
        <v>2</v>
      </c>
      <c r="D1" s="20" t="s">
        <v>3</v>
      </c>
      <c r="E1" s="20" t="s">
        <v>2</v>
      </c>
    </row>
    <row r="2" spans="1:5" x14ac:dyDescent="0.25">
      <c r="A2" s="21">
        <v>43835</v>
      </c>
      <c r="B2">
        <v>5.38</v>
      </c>
      <c r="C2" s="22">
        <v>-2.5399999999999999E-2</v>
      </c>
      <c r="D2" s="20">
        <v>923.63</v>
      </c>
      <c r="E2" s="23">
        <v>3.8E-3</v>
      </c>
    </row>
    <row r="3" spans="1:5" x14ac:dyDescent="0.25">
      <c r="A3" s="21">
        <v>43842</v>
      </c>
      <c r="B3">
        <v>5.5</v>
      </c>
      <c r="C3" s="22">
        <v>2.23E-2</v>
      </c>
      <c r="D3" s="20">
        <v>934.22</v>
      </c>
      <c r="E3" s="23">
        <v>1.15E-2</v>
      </c>
    </row>
    <row r="4" spans="1:5" x14ac:dyDescent="0.25">
      <c r="A4" s="21">
        <v>43849</v>
      </c>
      <c r="B4">
        <v>5.66</v>
      </c>
      <c r="C4" s="22">
        <v>2.9100000000000001E-2</v>
      </c>
      <c r="D4" s="20">
        <v>948.64</v>
      </c>
      <c r="E4" s="23">
        <v>1.54E-2</v>
      </c>
    </row>
    <row r="5" spans="1:5" x14ac:dyDescent="0.25">
      <c r="A5" s="21">
        <v>43856</v>
      </c>
      <c r="B5">
        <v>5.42</v>
      </c>
      <c r="C5" s="22">
        <v>-4.24E-2</v>
      </c>
      <c r="D5" s="20">
        <v>910.9</v>
      </c>
      <c r="E5" s="23">
        <v>-3.9800000000000002E-2</v>
      </c>
    </row>
    <row r="6" spans="1:5" x14ac:dyDescent="0.25">
      <c r="A6" s="21">
        <v>43863</v>
      </c>
      <c r="B6">
        <v>5.46</v>
      </c>
      <c r="C6" s="22">
        <v>7.4000000000000003E-3</v>
      </c>
      <c r="D6" s="20">
        <v>910.91</v>
      </c>
      <c r="E6" s="23">
        <v>0</v>
      </c>
    </row>
    <row r="7" spans="1:5" x14ac:dyDescent="0.25">
      <c r="A7" s="21">
        <v>43870</v>
      </c>
      <c r="B7">
        <v>5.58</v>
      </c>
      <c r="C7" s="22">
        <v>2.1999999999999999E-2</v>
      </c>
      <c r="D7" s="20">
        <v>922.3</v>
      </c>
      <c r="E7" s="23">
        <v>1.2500000000000001E-2</v>
      </c>
    </row>
    <row r="8" spans="1:5" x14ac:dyDescent="0.25">
      <c r="A8" s="21">
        <v>43877</v>
      </c>
      <c r="B8">
        <v>5.42</v>
      </c>
      <c r="C8" s="22">
        <v>-2.87E-2</v>
      </c>
      <c r="D8" s="20">
        <v>893.03</v>
      </c>
      <c r="E8" s="23">
        <v>-3.1699999999999999E-2</v>
      </c>
    </row>
    <row r="9" spans="1:5" x14ac:dyDescent="0.25">
      <c r="A9" s="21">
        <v>43884</v>
      </c>
      <c r="B9">
        <v>4.6399999999999997</v>
      </c>
      <c r="C9" s="22">
        <v>-0.1439</v>
      </c>
      <c r="D9" s="20">
        <v>720.35</v>
      </c>
      <c r="E9" s="23">
        <v>-0.19339999999999999</v>
      </c>
    </row>
    <row r="10" spans="1:5" x14ac:dyDescent="0.25">
      <c r="A10" s="21">
        <v>43891</v>
      </c>
      <c r="B10">
        <v>4.4800000000000004</v>
      </c>
      <c r="C10" s="22">
        <v>-3.4500000000000003E-2</v>
      </c>
      <c r="D10" s="20">
        <v>684.74</v>
      </c>
      <c r="E10" s="23">
        <v>-4.9399999999999999E-2</v>
      </c>
    </row>
    <row r="11" spans="1:5" x14ac:dyDescent="0.25">
      <c r="A11" s="21">
        <v>43898</v>
      </c>
      <c r="B11">
        <v>3.85</v>
      </c>
      <c r="C11" s="22">
        <v>-0.1406</v>
      </c>
      <c r="D11" s="20">
        <v>551.97</v>
      </c>
      <c r="E11" s="23">
        <v>-0.19389999999999999</v>
      </c>
    </row>
    <row r="12" spans="1:5" x14ac:dyDescent="0.25">
      <c r="A12" s="21">
        <v>43905</v>
      </c>
      <c r="B12">
        <v>4.55</v>
      </c>
      <c r="C12" s="22">
        <v>0.18179999999999999</v>
      </c>
      <c r="D12" s="20">
        <v>555.13</v>
      </c>
      <c r="E12" s="23">
        <v>5.7000000000000002E-3</v>
      </c>
    </row>
    <row r="13" spans="1:5" x14ac:dyDescent="0.25">
      <c r="A13" s="21">
        <v>43912</v>
      </c>
      <c r="B13">
        <v>4.3499999999999996</v>
      </c>
      <c r="C13" s="22">
        <v>-4.3999999999999997E-2</v>
      </c>
      <c r="D13" s="20">
        <v>550.85</v>
      </c>
      <c r="E13" s="23">
        <v>-7.7000000000000002E-3</v>
      </c>
    </row>
    <row r="14" spans="1:5" x14ac:dyDescent="0.25">
      <c r="A14" s="21">
        <v>43919</v>
      </c>
      <c r="B14">
        <v>4.3</v>
      </c>
      <c r="C14" s="22">
        <v>-1.15E-2</v>
      </c>
      <c r="D14" s="20">
        <v>540.74</v>
      </c>
      <c r="E14" s="23">
        <v>-1.84E-2</v>
      </c>
    </row>
    <row r="15" spans="1:5" x14ac:dyDescent="0.25">
      <c r="A15" s="21">
        <v>43926</v>
      </c>
      <c r="B15">
        <v>4.5999999999999996</v>
      </c>
      <c r="C15" s="22">
        <v>6.9800000000000001E-2</v>
      </c>
      <c r="D15" s="20">
        <v>607.29</v>
      </c>
      <c r="E15" s="23">
        <v>0.1231</v>
      </c>
    </row>
    <row r="16" spans="1:5" x14ac:dyDescent="0.25">
      <c r="A16" s="21">
        <v>43933</v>
      </c>
      <c r="B16">
        <v>4.6500000000000004</v>
      </c>
      <c r="C16" s="22">
        <v>1.09E-2</v>
      </c>
      <c r="D16" s="20">
        <v>606.75</v>
      </c>
      <c r="E16" s="23">
        <v>-8.9999999999999998E-4</v>
      </c>
    </row>
    <row r="17" spans="1:5" x14ac:dyDescent="0.25">
      <c r="A17" s="21">
        <v>43940</v>
      </c>
      <c r="B17">
        <v>4.7699999999999996</v>
      </c>
      <c r="C17" s="22">
        <v>2.58E-2</v>
      </c>
      <c r="D17" s="20">
        <v>606.41</v>
      </c>
      <c r="E17" s="23">
        <v>-5.9999999999999995E-4</v>
      </c>
    </row>
    <row r="18" spans="1:5" x14ac:dyDescent="0.25">
      <c r="A18" s="21">
        <v>43947</v>
      </c>
      <c r="B18">
        <v>4.8600000000000003</v>
      </c>
      <c r="C18" s="22">
        <v>1.89E-2</v>
      </c>
      <c r="D18" s="20">
        <v>628.25</v>
      </c>
      <c r="E18" s="23">
        <v>3.5999999999999997E-2</v>
      </c>
    </row>
    <row r="19" spans="1:5" x14ac:dyDescent="0.25">
      <c r="A19" s="21">
        <v>43954</v>
      </c>
      <c r="B19">
        <v>4.9800000000000004</v>
      </c>
      <c r="C19" s="22">
        <v>2.47E-2</v>
      </c>
      <c r="D19" s="20">
        <v>604.04999999999995</v>
      </c>
      <c r="E19" s="23">
        <v>-3.85E-2</v>
      </c>
    </row>
    <row r="20" spans="1:5" x14ac:dyDescent="0.25">
      <c r="A20" s="21">
        <v>43961</v>
      </c>
      <c r="B20">
        <v>4.9000000000000004</v>
      </c>
      <c r="C20" s="22">
        <v>-1.61E-2</v>
      </c>
      <c r="D20" s="20">
        <v>593.26</v>
      </c>
      <c r="E20" s="23">
        <v>-1.7899999999999999E-2</v>
      </c>
    </row>
    <row r="21" spans="1:5" x14ac:dyDescent="0.25">
      <c r="A21" s="21">
        <v>43968</v>
      </c>
      <c r="B21">
        <v>5.0599999999999996</v>
      </c>
      <c r="C21" s="22">
        <v>3.27E-2</v>
      </c>
      <c r="D21" s="20">
        <v>609.20000000000005</v>
      </c>
      <c r="E21" s="23">
        <v>2.69E-2</v>
      </c>
    </row>
    <row r="22" spans="1:5" x14ac:dyDescent="0.25">
      <c r="A22" s="21">
        <v>43975</v>
      </c>
      <c r="B22">
        <v>5.34</v>
      </c>
      <c r="C22" s="22">
        <v>5.5300000000000002E-2</v>
      </c>
      <c r="D22" s="20">
        <v>652.58000000000004</v>
      </c>
      <c r="E22" s="23">
        <v>7.1199999999999999E-2</v>
      </c>
    </row>
    <row r="23" spans="1:5" x14ac:dyDescent="0.25">
      <c r="A23" s="21">
        <v>43982</v>
      </c>
      <c r="B23">
        <v>6</v>
      </c>
      <c r="C23" s="22">
        <v>0.1236</v>
      </c>
      <c r="D23" s="20">
        <v>683.46</v>
      </c>
      <c r="E23" s="23">
        <v>4.7300000000000002E-2</v>
      </c>
    </row>
    <row r="24" spans="1:5" x14ac:dyDescent="0.25">
      <c r="A24" s="21">
        <v>43989</v>
      </c>
      <c r="B24">
        <v>5.48</v>
      </c>
      <c r="C24" s="22">
        <v>-8.6699999999999999E-2</v>
      </c>
      <c r="D24" s="20">
        <v>646.79999999999995</v>
      </c>
      <c r="E24" s="23">
        <v>-5.3600000000000002E-2</v>
      </c>
    </row>
    <row r="25" spans="1:5" x14ac:dyDescent="0.25">
      <c r="A25" s="21">
        <v>43996</v>
      </c>
      <c r="B25">
        <v>5.4</v>
      </c>
      <c r="C25" s="22">
        <v>-1.46E-2</v>
      </c>
      <c r="D25" s="20">
        <v>668.34</v>
      </c>
      <c r="E25" s="23">
        <v>3.3300000000000003E-2</v>
      </c>
    </row>
    <row r="26" spans="1:5" x14ac:dyDescent="0.25">
      <c r="A26" s="21">
        <v>44003</v>
      </c>
      <c r="B26">
        <v>5.72</v>
      </c>
      <c r="C26" s="22">
        <v>5.9299999999999999E-2</v>
      </c>
      <c r="D26" s="20">
        <v>641.95000000000005</v>
      </c>
      <c r="E26" s="23">
        <v>-3.95E-2</v>
      </c>
    </row>
    <row r="27" spans="1:5" x14ac:dyDescent="0.25">
      <c r="A27" s="21">
        <v>44010</v>
      </c>
      <c r="B27">
        <v>5.82</v>
      </c>
      <c r="C27" s="22">
        <v>1.7500000000000002E-2</v>
      </c>
      <c r="D27" s="20">
        <v>658.55</v>
      </c>
      <c r="E27" s="23">
        <v>2.5899999999999999E-2</v>
      </c>
    </row>
    <row r="28" spans="1:5" x14ac:dyDescent="0.25">
      <c r="A28" s="21">
        <v>44017</v>
      </c>
      <c r="B28">
        <v>5.9</v>
      </c>
      <c r="C28" s="22">
        <v>1.37E-2</v>
      </c>
      <c r="D28" s="20">
        <v>632.97</v>
      </c>
      <c r="E28" s="23">
        <v>-3.8800000000000001E-2</v>
      </c>
    </row>
    <row r="29" spans="1:5" x14ac:dyDescent="0.25">
      <c r="A29" s="21">
        <v>44024</v>
      </c>
      <c r="B29">
        <v>5.94</v>
      </c>
      <c r="C29" s="22">
        <v>6.7999999999999996E-3</v>
      </c>
      <c r="D29" s="20">
        <v>641.48</v>
      </c>
      <c r="E29" s="23">
        <v>1.34E-2</v>
      </c>
    </row>
    <row r="30" spans="1:5" x14ac:dyDescent="0.25">
      <c r="A30" s="21">
        <v>44031</v>
      </c>
      <c r="B30">
        <v>5.82</v>
      </c>
      <c r="C30" s="22">
        <v>-2.0199999999999999E-2</v>
      </c>
      <c r="D30" s="20">
        <v>634.32000000000005</v>
      </c>
      <c r="E30" s="23">
        <v>-1.12E-2</v>
      </c>
    </row>
    <row r="31" spans="1:5" x14ac:dyDescent="0.25">
      <c r="A31" s="21">
        <v>44038</v>
      </c>
      <c r="B31">
        <v>5.74</v>
      </c>
      <c r="C31" s="22">
        <v>-1.37E-2</v>
      </c>
      <c r="D31" s="20">
        <v>617.61</v>
      </c>
      <c r="E31" s="23">
        <v>-2.63E-2</v>
      </c>
    </row>
    <row r="32" spans="1:5" x14ac:dyDescent="0.25">
      <c r="A32" s="21">
        <v>44045</v>
      </c>
      <c r="B32">
        <v>6.24</v>
      </c>
      <c r="C32" s="22">
        <v>8.7099999999999997E-2</v>
      </c>
      <c r="D32" s="20">
        <v>632.63</v>
      </c>
      <c r="E32" s="23">
        <v>2.4299999999999999E-2</v>
      </c>
    </row>
    <row r="33" spans="1:5" x14ac:dyDescent="0.25">
      <c r="A33" s="21">
        <v>44052</v>
      </c>
      <c r="B33">
        <v>5.9</v>
      </c>
      <c r="C33" s="22">
        <v>-5.45E-2</v>
      </c>
      <c r="D33" s="20">
        <v>634.37</v>
      </c>
      <c r="E33" s="23">
        <v>2.8E-3</v>
      </c>
    </row>
    <row r="34" spans="1:5" x14ac:dyDescent="0.25">
      <c r="A34" s="21">
        <v>44059</v>
      </c>
      <c r="B34">
        <v>5.9</v>
      </c>
      <c r="C34" s="22">
        <v>0</v>
      </c>
      <c r="D34" s="20">
        <v>633.27</v>
      </c>
      <c r="E34" s="23">
        <v>-1.6999999999999999E-3</v>
      </c>
    </row>
    <row r="35" spans="1:5" x14ac:dyDescent="0.25">
      <c r="A35" s="21">
        <v>44066</v>
      </c>
      <c r="B35">
        <v>5.94</v>
      </c>
      <c r="C35" s="22">
        <v>6.7999999999999996E-3</v>
      </c>
      <c r="D35" s="20">
        <v>634.47</v>
      </c>
      <c r="E35" s="23">
        <v>1.9E-3</v>
      </c>
    </row>
    <row r="36" spans="1:5" x14ac:dyDescent="0.25">
      <c r="A36" s="21">
        <v>44073</v>
      </c>
      <c r="B36">
        <v>5.98</v>
      </c>
      <c r="C36" s="22">
        <v>6.7000000000000002E-3</v>
      </c>
      <c r="D36" s="20">
        <v>639.29</v>
      </c>
      <c r="E36" s="23">
        <v>7.6E-3</v>
      </c>
    </row>
    <row r="37" spans="1:5" x14ac:dyDescent="0.25">
      <c r="A37" s="21">
        <v>44080</v>
      </c>
      <c r="B37">
        <v>5.8</v>
      </c>
      <c r="C37" s="22">
        <v>-3.0099999999999998E-2</v>
      </c>
      <c r="D37" s="20">
        <v>636.03</v>
      </c>
      <c r="E37" s="23">
        <v>-5.1000000000000004E-3</v>
      </c>
    </row>
    <row r="38" spans="1:5" x14ac:dyDescent="0.25">
      <c r="A38" s="21">
        <v>44087</v>
      </c>
      <c r="B38">
        <v>6.06</v>
      </c>
      <c r="C38" s="22">
        <v>4.48E-2</v>
      </c>
      <c r="D38" s="20">
        <v>658.54</v>
      </c>
      <c r="E38" s="23">
        <v>3.5400000000000001E-2</v>
      </c>
    </row>
    <row r="39" spans="1:5" x14ac:dyDescent="0.25">
      <c r="A39" s="21">
        <v>44094</v>
      </c>
      <c r="B39">
        <v>6.02</v>
      </c>
      <c r="C39" s="22">
        <v>-6.6E-3</v>
      </c>
      <c r="D39" s="20">
        <v>617.9</v>
      </c>
      <c r="E39" s="23">
        <v>-6.1699999999999998E-2</v>
      </c>
    </row>
    <row r="40" spans="1:5" x14ac:dyDescent="0.25">
      <c r="A40" s="21">
        <v>44101</v>
      </c>
      <c r="B40">
        <v>6.16</v>
      </c>
      <c r="C40" s="22">
        <v>2.3300000000000001E-2</v>
      </c>
      <c r="D40" s="20">
        <v>625.66999999999996</v>
      </c>
      <c r="E40" s="23">
        <v>1.26E-2</v>
      </c>
    </row>
    <row r="41" spans="1:5" x14ac:dyDescent="0.25">
      <c r="A41" s="21">
        <v>44108</v>
      </c>
      <c r="B41">
        <v>6.56</v>
      </c>
      <c r="C41" s="22">
        <v>6.4899999999999999E-2</v>
      </c>
      <c r="D41" s="20">
        <v>651.47</v>
      </c>
      <c r="E41" s="23">
        <v>4.1200000000000001E-2</v>
      </c>
    </row>
    <row r="42" spans="1:5" x14ac:dyDescent="0.25">
      <c r="A42" s="21">
        <v>44115</v>
      </c>
      <c r="B42">
        <v>6.3</v>
      </c>
      <c r="C42" s="22">
        <v>-3.9600000000000003E-2</v>
      </c>
      <c r="D42" s="20">
        <v>620.17999999999995</v>
      </c>
      <c r="E42" s="23">
        <v>-4.8000000000000001E-2</v>
      </c>
    </row>
    <row r="43" spans="1:5" x14ac:dyDescent="0.25">
      <c r="A43" s="21">
        <v>44122</v>
      </c>
      <c r="B43">
        <v>6.34</v>
      </c>
      <c r="C43" s="22">
        <v>6.3E-3</v>
      </c>
      <c r="D43" s="20">
        <v>612.32000000000005</v>
      </c>
      <c r="E43" s="23">
        <v>-1.2699999999999999E-2</v>
      </c>
    </row>
    <row r="44" spans="1:5" x14ac:dyDescent="0.25">
      <c r="A44" s="21">
        <v>44129</v>
      </c>
      <c r="B44">
        <v>6.18</v>
      </c>
      <c r="C44" s="22">
        <v>-2.52E-2</v>
      </c>
      <c r="D44" s="20">
        <v>569.5</v>
      </c>
      <c r="E44" s="23">
        <v>-6.9900000000000004E-2</v>
      </c>
    </row>
    <row r="45" spans="1:5" x14ac:dyDescent="0.25">
      <c r="A45" s="21">
        <v>44136</v>
      </c>
      <c r="B45">
        <v>6.26</v>
      </c>
      <c r="C45" s="22">
        <v>1.29E-2</v>
      </c>
      <c r="D45" s="20">
        <v>588.1</v>
      </c>
      <c r="E45" s="23">
        <v>3.27E-2</v>
      </c>
    </row>
    <row r="46" spans="1:5" x14ac:dyDescent="0.25">
      <c r="A46" s="21">
        <v>44143</v>
      </c>
      <c r="B46">
        <v>6.3</v>
      </c>
      <c r="C46" s="22">
        <v>6.4000000000000003E-3</v>
      </c>
      <c r="D46" s="20">
        <v>655.68</v>
      </c>
      <c r="E46" s="23">
        <v>0.1149</v>
      </c>
    </row>
    <row r="47" spans="1:5" x14ac:dyDescent="0.25">
      <c r="A47" s="21">
        <v>44150</v>
      </c>
      <c r="B47">
        <v>6.42</v>
      </c>
      <c r="C47" s="22">
        <v>1.9E-2</v>
      </c>
      <c r="D47" s="20">
        <v>699.45</v>
      </c>
      <c r="E47" s="23">
        <v>6.6799999999999998E-2</v>
      </c>
    </row>
    <row r="48" spans="1:5" x14ac:dyDescent="0.25">
      <c r="A48" s="21">
        <v>44157</v>
      </c>
      <c r="B48">
        <v>6.42</v>
      </c>
      <c r="C48" s="22">
        <v>0</v>
      </c>
      <c r="D48" s="20">
        <v>736.6</v>
      </c>
      <c r="E48" s="23">
        <v>5.3100000000000001E-2</v>
      </c>
    </row>
    <row r="49" spans="1:5" x14ac:dyDescent="0.25">
      <c r="A49" s="21">
        <v>44164</v>
      </c>
      <c r="B49">
        <v>6.4</v>
      </c>
      <c r="C49" s="22">
        <v>-3.0999999999999999E-3</v>
      </c>
      <c r="D49" s="20">
        <v>784.95</v>
      </c>
      <c r="E49" s="23">
        <v>6.5600000000000006E-2</v>
      </c>
    </row>
    <row r="50" spans="1:5" x14ac:dyDescent="0.25">
      <c r="A50" s="21">
        <v>44171</v>
      </c>
      <c r="B50">
        <v>6.4</v>
      </c>
      <c r="C50" s="22">
        <v>0</v>
      </c>
      <c r="D50" s="20">
        <v>779.04</v>
      </c>
      <c r="E50" s="23">
        <v>-7.4999999999999997E-3</v>
      </c>
    </row>
    <row r="51" spans="1:5" x14ac:dyDescent="0.25">
      <c r="A51" s="21">
        <v>44178</v>
      </c>
      <c r="B51">
        <v>6.66</v>
      </c>
      <c r="C51" s="22">
        <v>4.0599999999999997E-2</v>
      </c>
      <c r="D51" s="20">
        <v>800.06</v>
      </c>
      <c r="E51" s="23">
        <v>2.7E-2</v>
      </c>
    </row>
    <row r="52" spans="1:5" x14ac:dyDescent="0.25">
      <c r="A52" s="21">
        <v>44185</v>
      </c>
      <c r="B52">
        <v>6.44</v>
      </c>
      <c r="C52" s="22">
        <v>-3.3000000000000002E-2</v>
      </c>
      <c r="D52" s="20">
        <v>787.48</v>
      </c>
      <c r="E52" s="23">
        <v>-1.5699999999999999E-2</v>
      </c>
    </row>
    <row r="53" spans="1:5" x14ac:dyDescent="0.25">
      <c r="A53" s="21">
        <v>44192</v>
      </c>
      <c r="B53">
        <v>6.54</v>
      </c>
      <c r="C53" s="22">
        <v>1.55E-2</v>
      </c>
      <c r="D53" s="20">
        <v>808.99</v>
      </c>
      <c r="E53" s="23">
        <v>2.7300000000000001E-2</v>
      </c>
    </row>
    <row r="54" spans="1:5" x14ac:dyDescent="0.25">
      <c r="A54" s="21">
        <v>44199</v>
      </c>
      <c r="B54">
        <v>6.6</v>
      </c>
      <c r="C54" s="22">
        <v>9.1999999999999998E-3</v>
      </c>
      <c r="D54" s="20">
        <v>819.27</v>
      </c>
      <c r="E54" s="23">
        <v>1.2699999999999999E-2</v>
      </c>
    </row>
    <row r="55" spans="1:5" x14ac:dyDescent="0.25">
      <c r="A55" s="21">
        <v>44206</v>
      </c>
      <c r="B55">
        <v>6.6</v>
      </c>
      <c r="C55" s="22">
        <v>0</v>
      </c>
      <c r="D55" s="20">
        <v>790.14</v>
      </c>
      <c r="E55" s="23">
        <v>-3.56E-2</v>
      </c>
    </row>
    <row r="56" spans="1:5" x14ac:dyDescent="0.25">
      <c r="A56" s="21">
        <v>44213</v>
      </c>
      <c r="B56">
        <v>6.62</v>
      </c>
      <c r="C56" s="22">
        <v>3.0000000000000001E-3</v>
      </c>
      <c r="D56" s="20">
        <v>778.98</v>
      </c>
      <c r="E56" s="23">
        <v>-1.41E-2</v>
      </c>
    </row>
    <row r="57" spans="1:5" x14ac:dyDescent="0.25">
      <c r="A57" s="21">
        <v>44220</v>
      </c>
      <c r="B57">
        <v>6.66</v>
      </c>
      <c r="C57" s="22">
        <v>6.0000000000000001E-3</v>
      </c>
      <c r="D57" s="20">
        <v>749.46</v>
      </c>
      <c r="E57" s="23">
        <v>-3.7900000000000003E-2</v>
      </c>
    </row>
    <row r="58" spans="1:5" x14ac:dyDescent="0.25">
      <c r="A58" s="21">
        <v>44227</v>
      </c>
      <c r="B58">
        <v>6.94</v>
      </c>
      <c r="C58" s="22">
        <v>4.2000000000000003E-2</v>
      </c>
      <c r="D58" s="20">
        <v>764.6</v>
      </c>
      <c r="E58" s="23">
        <v>2.0199999999999999E-2</v>
      </c>
    </row>
    <row r="59" spans="1:5" x14ac:dyDescent="0.25">
      <c r="A59" s="21">
        <v>44234</v>
      </c>
      <c r="B59">
        <v>7.1</v>
      </c>
      <c r="C59" s="22">
        <v>2.3099999999999999E-2</v>
      </c>
      <c r="D59" s="20">
        <v>776.09</v>
      </c>
      <c r="E59" s="23">
        <v>1.4999999999999999E-2</v>
      </c>
    </row>
    <row r="60" spans="1:5" x14ac:dyDescent="0.25">
      <c r="A60" s="21">
        <v>44241</v>
      </c>
      <c r="B60">
        <v>7</v>
      </c>
      <c r="C60" s="22">
        <v>-1.41E-2</v>
      </c>
      <c r="D60" s="20">
        <v>781.42</v>
      </c>
      <c r="E60" s="23">
        <v>6.8999999999999999E-3</v>
      </c>
    </row>
    <row r="61" spans="1:5" x14ac:dyDescent="0.25">
      <c r="A61" s="21">
        <v>44248</v>
      </c>
      <c r="B61">
        <v>7.28</v>
      </c>
      <c r="C61" s="22">
        <v>0.04</v>
      </c>
      <c r="D61" s="20">
        <v>792.38</v>
      </c>
      <c r="E61" s="23">
        <v>1.4E-2</v>
      </c>
    </row>
    <row r="62" spans="1:5" x14ac:dyDescent="0.25">
      <c r="A62" s="21">
        <v>44255</v>
      </c>
      <c r="B62">
        <v>7.26</v>
      </c>
      <c r="C62" s="22">
        <v>-2.7000000000000001E-3</v>
      </c>
      <c r="D62" s="20">
        <v>825.02</v>
      </c>
      <c r="E62" s="23">
        <v>4.1200000000000001E-2</v>
      </c>
    </row>
    <row r="63" spans="1:5" x14ac:dyDescent="0.25">
      <c r="A63" s="21">
        <v>44262</v>
      </c>
      <c r="B63">
        <v>7.26</v>
      </c>
      <c r="C63" s="22">
        <v>0</v>
      </c>
      <c r="D63" s="20">
        <v>849.81</v>
      </c>
      <c r="E63" s="23">
        <v>0.03</v>
      </c>
    </row>
    <row r="64" spans="1:5" x14ac:dyDescent="0.25">
      <c r="A64" s="21">
        <v>44269</v>
      </c>
      <c r="B64">
        <v>7.4</v>
      </c>
      <c r="C64" s="22">
        <v>1.9300000000000001E-2</v>
      </c>
      <c r="D64" s="20">
        <v>833.07</v>
      </c>
      <c r="E64" s="23">
        <v>-1.9699999999999999E-2</v>
      </c>
    </row>
    <row r="65" spans="1:5" x14ac:dyDescent="0.25">
      <c r="A65" s="21">
        <v>44276</v>
      </c>
      <c r="B65">
        <v>7.46</v>
      </c>
      <c r="C65" s="22">
        <v>8.0999999999999996E-3</v>
      </c>
      <c r="D65" s="20">
        <v>851.82</v>
      </c>
      <c r="E65" s="23">
        <v>2.2499999999999999E-2</v>
      </c>
    </row>
    <row r="66" spans="1:5" x14ac:dyDescent="0.25">
      <c r="A66" s="21">
        <v>44283</v>
      </c>
      <c r="B66">
        <v>7.7</v>
      </c>
      <c r="C66" s="22">
        <v>3.2199999999999999E-2</v>
      </c>
      <c r="D66" s="20">
        <v>875.22</v>
      </c>
      <c r="E66" s="23">
        <v>2.75E-2</v>
      </c>
    </row>
    <row r="67" spans="1:5" x14ac:dyDescent="0.25">
      <c r="A67" s="21">
        <v>44290</v>
      </c>
      <c r="B67">
        <v>7.76</v>
      </c>
      <c r="C67" s="22">
        <v>7.7999999999999996E-3</v>
      </c>
      <c r="D67" s="20">
        <v>891.69</v>
      </c>
      <c r="E67" s="23">
        <v>1.8800000000000001E-2</v>
      </c>
    </row>
    <row r="68" spans="1:5" x14ac:dyDescent="0.25">
      <c r="A68" s="21">
        <v>44297</v>
      </c>
      <c r="B68">
        <v>7.6</v>
      </c>
      <c r="C68" s="22">
        <v>-2.06E-2</v>
      </c>
      <c r="D68" s="20">
        <v>898.63</v>
      </c>
      <c r="E68" s="23">
        <v>7.7999999999999996E-3</v>
      </c>
    </row>
    <row r="69" spans="1:5" x14ac:dyDescent="0.25">
      <c r="A69" s="21">
        <v>44304</v>
      </c>
      <c r="B69">
        <v>7.5</v>
      </c>
      <c r="C69" s="22">
        <v>-1.32E-2</v>
      </c>
      <c r="D69" s="20">
        <v>899.58</v>
      </c>
      <c r="E69" s="23">
        <v>1.1000000000000001E-3</v>
      </c>
    </row>
    <row r="70" spans="1:5" x14ac:dyDescent="0.25">
      <c r="A70" s="21">
        <v>44311</v>
      </c>
      <c r="B70">
        <v>7.72</v>
      </c>
      <c r="C70" s="22">
        <v>2.93E-2</v>
      </c>
      <c r="D70" s="20">
        <v>910.37</v>
      </c>
      <c r="E70" s="23">
        <v>1.2E-2</v>
      </c>
    </row>
    <row r="71" spans="1:5" x14ac:dyDescent="0.25">
      <c r="A71" s="21">
        <v>44318</v>
      </c>
      <c r="B71">
        <v>7.6</v>
      </c>
      <c r="C71" s="22">
        <v>-1.55E-2</v>
      </c>
      <c r="D71" s="20">
        <v>897.01</v>
      </c>
      <c r="E71" s="23">
        <v>-1.47E-2</v>
      </c>
    </row>
    <row r="72" spans="1:5" x14ac:dyDescent="0.25">
      <c r="A72" s="21">
        <v>44325</v>
      </c>
      <c r="B72">
        <v>7.46</v>
      </c>
      <c r="C72" s="22">
        <v>-1.84E-2</v>
      </c>
      <c r="D72" s="20">
        <v>907.08</v>
      </c>
      <c r="E72" s="23">
        <v>1.12E-2</v>
      </c>
    </row>
    <row r="73" spans="1:5" x14ac:dyDescent="0.25">
      <c r="A73" s="21">
        <v>44332</v>
      </c>
      <c r="B73">
        <v>7.44</v>
      </c>
      <c r="C73" s="22">
        <v>-2.7000000000000001E-3</v>
      </c>
      <c r="D73" s="20">
        <v>867.56</v>
      </c>
      <c r="E73" s="23">
        <v>-4.36E-2</v>
      </c>
    </row>
    <row r="74" spans="1:5" x14ac:dyDescent="0.25">
      <c r="A74" s="21">
        <v>44339</v>
      </c>
      <c r="B74">
        <v>7.64</v>
      </c>
      <c r="C74" s="22">
        <v>2.69E-2</v>
      </c>
      <c r="D74" s="20">
        <v>887.6</v>
      </c>
      <c r="E74" s="23">
        <v>2.3099999999999999E-2</v>
      </c>
    </row>
    <row r="75" spans="1:5" x14ac:dyDescent="0.25">
      <c r="A75" s="21">
        <v>44346</v>
      </c>
      <c r="B75">
        <v>7.74</v>
      </c>
      <c r="C75" s="22">
        <v>1.3100000000000001E-2</v>
      </c>
      <c r="D75" s="20">
        <v>901.6</v>
      </c>
      <c r="E75" s="23">
        <v>1.5800000000000002E-2</v>
      </c>
    </row>
    <row r="76" spans="1:5" x14ac:dyDescent="0.25">
      <c r="A76" s="21">
        <v>44353</v>
      </c>
      <c r="B76">
        <v>7.9</v>
      </c>
      <c r="C76" s="22">
        <v>2.07E-2</v>
      </c>
      <c r="D76" s="20">
        <v>925.83</v>
      </c>
      <c r="E76" s="23">
        <v>2.69E-2</v>
      </c>
    </row>
    <row r="77" spans="1:5" x14ac:dyDescent="0.25">
      <c r="A77" s="21">
        <v>44360</v>
      </c>
      <c r="B77">
        <v>8.0399999999999991</v>
      </c>
      <c r="C77" s="22">
        <v>1.77E-2</v>
      </c>
      <c r="D77" s="20">
        <v>905.55</v>
      </c>
      <c r="E77" s="23">
        <v>-2.1899999999999999E-2</v>
      </c>
    </row>
    <row r="78" spans="1:5" x14ac:dyDescent="0.25">
      <c r="A78" s="21">
        <v>44367</v>
      </c>
      <c r="B78">
        <v>8.5</v>
      </c>
      <c r="C78" s="22">
        <v>5.7200000000000001E-2</v>
      </c>
      <c r="D78" s="20">
        <v>907.76</v>
      </c>
      <c r="E78" s="23">
        <v>2.3999999999999998E-3</v>
      </c>
    </row>
    <row r="79" spans="1:5" x14ac:dyDescent="0.25">
      <c r="A79" s="21">
        <v>44374</v>
      </c>
      <c r="B79">
        <v>8.8000000000000007</v>
      </c>
      <c r="C79" s="22">
        <v>3.5299999999999998E-2</v>
      </c>
      <c r="D79" s="20">
        <v>886.66</v>
      </c>
      <c r="E79" s="23">
        <v>-2.3199999999999998E-2</v>
      </c>
    </row>
    <row r="80" spans="1:5" x14ac:dyDescent="0.25">
      <c r="A80" s="21">
        <v>44381</v>
      </c>
      <c r="B80">
        <v>8.64</v>
      </c>
      <c r="C80" s="22">
        <v>-1.8200000000000001E-2</v>
      </c>
      <c r="D80" s="20">
        <v>874.25</v>
      </c>
      <c r="E80" s="23">
        <v>-1.4E-2</v>
      </c>
    </row>
    <row r="81" spans="1:5" x14ac:dyDescent="0.25">
      <c r="A81" s="21">
        <v>44388</v>
      </c>
      <c r="B81">
        <v>8.6</v>
      </c>
      <c r="C81" s="22">
        <v>-4.5999999999999999E-3</v>
      </c>
      <c r="D81" s="20">
        <v>866.81</v>
      </c>
      <c r="E81" s="23">
        <v>-8.5000000000000006E-3</v>
      </c>
    </row>
    <row r="82" spans="1:5" x14ac:dyDescent="0.25">
      <c r="A82" s="21">
        <v>44395</v>
      </c>
      <c r="B82">
        <v>8.66</v>
      </c>
      <c r="C82" s="22">
        <v>7.0000000000000001E-3</v>
      </c>
      <c r="D82" s="20">
        <v>864.44</v>
      </c>
      <c r="E82" s="23">
        <v>-2.7000000000000001E-3</v>
      </c>
    </row>
    <row r="83" spans="1:5" x14ac:dyDescent="0.25">
      <c r="A83" s="21">
        <v>44402</v>
      </c>
      <c r="B83">
        <v>8.8000000000000007</v>
      </c>
      <c r="C83" s="22">
        <v>1.6199999999999999E-2</v>
      </c>
      <c r="D83" s="20">
        <v>888.26</v>
      </c>
      <c r="E83" s="23">
        <v>2.76E-2</v>
      </c>
    </row>
    <row r="84" spans="1:5" x14ac:dyDescent="0.25">
      <c r="A84" s="21">
        <v>44409</v>
      </c>
      <c r="B84">
        <v>8.74</v>
      </c>
      <c r="C84" s="22">
        <v>-6.7999999999999996E-3</v>
      </c>
      <c r="D84" s="20">
        <v>893.47</v>
      </c>
      <c r="E84" s="23">
        <v>5.8999999999999999E-3</v>
      </c>
    </row>
    <row r="85" spans="1:5" x14ac:dyDescent="0.25">
      <c r="A85" s="21">
        <v>44416</v>
      </c>
      <c r="B85">
        <v>8.44</v>
      </c>
      <c r="C85" s="22">
        <v>-3.4299999999999997E-2</v>
      </c>
      <c r="D85" s="20">
        <v>895.29</v>
      </c>
      <c r="E85" s="23">
        <v>2E-3</v>
      </c>
    </row>
    <row r="86" spans="1:5" x14ac:dyDescent="0.25">
      <c r="A86" s="21">
        <v>44423</v>
      </c>
      <c r="B86">
        <v>8.5</v>
      </c>
      <c r="C86" s="22">
        <v>7.1000000000000004E-3</v>
      </c>
      <c r="D86" s="20">
        <v>883.11</v>
      </c>
      <c r="E86" s="23">
        <v>-1.3599999999999999E-2</v>
      </c>
    </row>
    <row r="87" spans="1:5" x14ac:dyDescent="0.25">
      <c r="A87" s="21">
        <v>44430</v>
      </c>
      <c r="B87">
        <v>8.5</v>
      </c>
      <c r="C87" s="22">
        <v>0</v>
      </c>
      <c r="D87" s="20">
        <v>914.39</v>
      </c>
      <c r="E87" s="23">
        <v>3.5400000000000001E-2</v>
      </c>
    </row>
    <row r="88" spans="1:5" x14ac:dyDescent="0.25">
      <c r="A88" s="21">
        <v>44437</v>
      </c>
      <c r="B88">
        <v>8.52</v>
      </c>
      <c r="C88" s="22">
        <v>2.3999999999999998E-3</v>
      </c>
      <c r="D88" s="20">
        <v>915.05</v>
      </c>
      <c r="E88" s="23">
        <v>6.9999999999999999E-4</v>
      </c>
    </row>
    <row r="89" spans="1:5" x14ac:dyDescent="0.25">
      <c r="A89" s="21">
        <v>44444</v>
      </c>
      <c r="B89">
        <v>8.1999999999999993</v>
      </c>
      <c r="C89" s="22">
        <v>-3.7600000000000001E-2</v>
      </c>
      <c r="D89" s="20">
        <v>901.13</v>
      </c>
      <c r="E89" s="23">
        <v>-1.52E-2</v>
      </c>
    </row>
    <row r="90" spans="1:5" x14ac:dyDescent="0.25">
      <c r="A90" s="21">
        <v>44451</v>
      </c>
      <c r="B90">
        <v>8.3800000000000008</v>
      </c>
      <c r="C90" s="22">
        <v>2.1999999999999999E-2</v>
      </c>
      <c r="D90" s="20">
        <v>912.81</v>
      </c>
      <c r="E90" s="23">
        <v>1.2999999999999999E-2</v>
      </c>
    </row>
    <row r="91" spans="1:5" x14ac:dyDescent="0.25">
      <c r="A91" s="21">
        <v>44458</v>
      </c>
      <c r="B91">
        <v>7.64</v>
      </c>
      <c r="C91" s="22">
        <v>-8.8300000000000003E-2</v>
      </c>
      <c r="D91" s="20">
        <v>873.1</v>
      </c>
      <c r="E91" s="23">
        <v>-4.3499999999999997E-2</v>
      </c>
    </row>
    <row r="92" spans="1:5" x14ac:dyDescent="0.25">
      <c r="A92" s="21">
        <v>44465</v>
      </c>
      <c r="B92">
        <v>7.56</v>
      </c>
      <c r="C92" s="22">
        <v>-1.0500000000000001E-2</v>
      </c>
      <c r="D92" s="20">
        <v>871.06</v>
      </c>
      <c r="E92" s="23">
        <v>-2.3E-3</v>
      </c>
    </row>
    <row r="93" spans="1:5" x14ac:dyDescent="0.25">
      <c r="A93" s="21">
        <v>44472</v>
      </c>
      <c r="B93">
        <v>7.7</v>
      </c>
      <c r="C93" s="22">
        <v>1.8499999999999999E-2</v>
      </c>
      <c r="D93" s="20">
        <v>892.6</v>
      </c>
      <c r="E93" s="23">
        <v>2.47E-2</v>
      </c>
    </row>
    <row r="94" spans="1:5" x14ac:dyDescent="0.25">
      <c r="A94" s="21">
        <v>44479</v>
      </c>
      <c r="B94">
        <v>7.96</v>
      </c>
      <c r="C94" s="22">
        <v>3.3799999999999997E-2</v>
      </c>
      <c r="D94" s="20">
        <v>894.74</v>
      </c>
      <c r="E94" s="23">
        <v>2.3999999999999998E-3</v>
      </c>
    </row>
    <row r="95" spans="1:5" x14ac:dyDescent="0.25">
      <c r="A95" s="21">
        <v>44486</v>
      </c>
      <c r="B95">
        <v>8.3000000000000007</v>
      </c>
      <c r="C95" s="22">
        <v>4.2700000000000002E-2</v>
      </c>
      <c r="D95" s="20">
        <v>905.04</v>
      </c>
      <c r="E95" s="23">
        <v>1.15E-2</v>
      </c>
    </row>
    <row r="96" spans="1:5" x14ac:dyDescent="0.25">
      <c r="A96" s="21">
        <v>44493</v>
      </c>
      <c r="B96">
        <v>7.98</v>
      </c>
      <c r="C96" s="22">
        <v>-3.8600000000000002E-2</v>
      </c>
      <c r="D96" s="20">
        <v>898.06</v>
      </c>
      <c r="E96" s="23">
        <v>-7.7000000000000002E-3</v>
      </c>
    </row>
    <row r="97" spans="1:5" x14ac:dyDescent="0.25">
      <c r="A97" s="21">
        <v>44500</v>
      </c>
      <c r="B97">
        <v>7.96</v>
      </c>
      <c r="C97" s="22">
        <v>-2.5000000000000001E-3</v>
      </c>
      <c r="D97" s="20">
        <v>906.85</v>
      </c>
      <c r="E97" s="23">
        <v>9.7999999999999997E-3</v>
      </c>
    </row>
    <row r="98" spans="1:5" x14ac:dyDescent="0.25">
      <c r="A98" s="21">
        <v>44507</v>
      </c>
      <c r="B98">
        <v>8.2799999999999994</v>
      </c>
      <c r="C98" s="22">
        <v>4.02E-2</v>
      </c>
      <c r="D98" s="20">
        <v>913.94</v>
      </c>
      <c r="E98" s="23">
        <v>7.7999999999999996E-3</v>
      </c>
    </row>
    <row r="99" spans="1:5" x14ac:dyDescent="0.25">
      <c r="A99" s="21">
        <v>44514</v>
      </c>
      <c r="B99">
        <v>8.26</v>
      </c>
      <c r="C99" s="22">
        <v>-2.3999999999999998E-3</v>
      </c>
      <c r="D99" s="20">
        <v>915.02</v>
      </c>
      <c r="E99" s="23">
        <v>1.1999999999999999E-3</v>
      </c>
    </row>
    <row r="100" spans="1:5" x14ac:dyDescent="0.25">
      <c r="A100" s="21">
        <v>44521</v>
      </c>
      <c r="B100">
        <v>8.06</v>
      </c>
      <c r="C100" s="22">
        <v>-2.4199999999999999E-2</v>
      </c>
      <c r="D100" s="20">
        <v>858.93</v>
      </c>
      <c r="E100" s="23">
        <v>-6.13E-2</v>
      </c>
    </row>
    <row r="101" spans="1:5" x14ac:dyDescent="0.25">
      <c r="A101" s="21">
        <v>44528</v>
      </c>
      <c r="B101">
        <v>8.3000000000000007</v>
      </c>
      <c r="C101" s="22">
        <v>2.98E-2</v>
      </c>
      <c r="D101" s="20">
        <v>879.23</v>
      </c>
      <c r="E101" s="23">
        <v>2.3599999999999999E-2</v>
      </c>
    </row>
    <row r="102" spans="1:5" x14ac:dyDescent="0.25">
      <c r="A102" s="21">
        <v>44535</v>
      </c>
      <c r="B102">
        <v>8.1</v>
      </c>
      <c r="C102" s="22">
        <v>-2.41E-2</v>
      </c>
      <c r="D102" s="20">
        <v>898.63</v>
      </c>
      <c r="E102" s="23">
        <v>2.2100000000000002E-2</v>
      </c>
    </row>
    <row r="103" spans="1:5" x14ac:dyDescent="0.25">
      <c r="A103" s="21">
        <v>44542</v>
      </c>
      <c r="B103">
        <v>8.06</v>
      </c>
      <c r="C103" s="22">
        <v>-4.8999999999999998E-3</v>
      </c>
      <c r="D103" s="20">
        <v>887.5</v>
      </c>
      <c r="E103" s="23">
        <v>-1.24E-2</v>
      </c>
    </row>
    <row r="104" spans="1:5" x14ac:dyDescent="0.25">
      <c r="A104" s="21">
        <v>44549</v>
      </c>
      <c r="B104">
        <v>8.5</v>
      </c>
      <c r="C104" s="22">
        <v>5.4600000000000003E-2</v>
      </c>
      <c r="D104" s="20">
        <v>890.73</v>
      </c>
      <c r="E104" s="23">
        <v>3.5999999999999999E-3</v>
      </c>
    </row>
    <row r="105" spans="1:5" x14ac:dyDescent="0.25">
      <c r="A105" s="21">
        <v>44556</v>
      </c>
      <c r="B105">
        <v>8.5</v>
      </c>
      <c r="C105" s="22">
        <v>0</v>
      </c>
      <c r="D105" s="20">
        <v>893.34</v>
      </c>
      <c r="E105" s="23">
        <v>2.8999999999999998E-3</v>
      </c>
    </row>
    <row r="106" spans="1:5" x14ac:dyDescent="0.25">
      <c r="A106" s="21">
        <v>44563</v>
      </c>
      <c r="B106">
        <v>8.42</v>
      </c>
      <c r="C106" s="22">
        <v>-9.4000000000000004E-3</v>
      </c>
      <c r="D106" s="20">
        <v>906.48</v>
      </c>
      <c r="E106" s="23">
        <v>1.47E-2</v>
      </c>
    </row>
    <row r="107" spans="1:5" x14ac:dyDescent="0.25">
      <c r="A107" s="21">
        <v>44570</v>
      </c>
      <c r="B107">
        <v>8.4600000000000009</v>
      </c>
      <c r="C107" s="22">
        <v>4.7999999999999996E-3</v>
      </c>
      <c r="D107" s="20">
        <v>949.39</v>
      </c>
      <c r="E107" s="23">
        <v>4.7300000000000002E-2</v>
      </c>
    </row>
    <row r="108" spans="1:5" x14ac:dyDescent="0.25">
      <c r="A108" s="21">
        <v>44577</v>
      </c>
      <c r="B108">
        <v>8.2200000000000006</v>
      </c>
      <c r="C108" s="22">
        <v>-2.8400000000000002E-2</v>
      </c>
      <c r="D108" s="20">
        <v>942.46</v>
      </c>
      <c r="E108" s="23">
        <v>-7.3000000000000001E-3</v>
      </c>
    </row>
    <row r="109" spans="1:5" x14ac:dyDescent="0.25">
      <c r="A109" s="21">
        <v>44584</v>
      </c>
      <c r="B109">
        <v>8.3000000000000007</v>
      </c>
      <c r="C109" s="22">
        <v>9.7000000000000003E-3</v>
      </c>
      <c r="D109" s="20">
        <v>924.42</v>
      </c>
      <c r="E109" s="23">
        <v>-1.9099999999999999E-2</v>
      </c>
    </row>
    <row r="110" spans="1:5" x14ac:dyDescent="0.25">
      <c r="A110" s="21">
        <v>44591</v>
      </c>
      <c r="B110">
        <v>8.3800000000000008</v>
      </c>
      <c r="C110" s="22">
        <v>9.5999999999999992E-3</v>
      </c>
      <c r="D110" s="20">
        <v>945</v>
      </c>
      <c r="E110" s="23">
        <v>2.23E-2</v>
      </c>
    </row>
    <row r="111" spans="1:5" x14ac:dyDescent="0.25">
      <c r="A111" s="21">
        <v>44598</v>
      </c>
      <c r="B111">
        <v>8.1999999999999993</v>
      </c>
      <c r="C111" s="22">
        <v>-2.1499999999999998E-2</v>
      </c>
      <c r="D111" s="20">
        <v>971.09</v>
      </c>
      <c r="E111" s="23">
        <v>2.76E-2</v>
      </c>
    </row>
    <row r="112" spans="1:5" x14ac:dyDescent="0.25">
      <c r="A112" s="21">
        <v>44605</v>
      </c>
      <c r="B112">
        <v>7.98</v>
      </c>
      <c r="C112" s="22">
        <v>-2.6800000000000001E-2</v>
      </c>
      <c r="D112" s="20">
        <v>955.93</v>
      </c>
      <c r="E112" s="23">
        <v>-1.5599999999999999E-2</v>
      </c>
    </row>
    <row r="113" spans="1:5" x14ac:dyDescent="0.25">
      <c r="A113" s="21">
        <v>44612</v>
      </c>
      <c r="B113">
        <v>7.6</v>
      </c>
      <c r="C113" s="22">
        <v>-4.7600000000000003E-2</v>
      </c>
      <c r="D113" s="20">
        <v>927.25</v>
      </c>
      <c r="E113" s="23">
        <v>-0.03</v>
      </c>
    </row>
    <row r="114" spans="1:5" x14ac:dyDescent="0.25">
      <c r="A114" s="21">
        <v>44619</v>
      </c>
      <c r="B114">
        <v>7.5</v>
      </c>
      <c r="C114" s="22">
        <v>-1.32E-2</v>
      </c>
      <c r="D114" s="20">
        <v>821.74</v>
      </c>
      <c r="E114" s="23">
        <v>-0.1138</v>
      </c>
    </row>
    <row r="115" spans="1:5" x14ac:dyDescent="0.25">
      <c r="A115" s="21">
        <v>44626</v>
      </c>
      <c r="B115">
        <v>7.38</v>
      </c>
      <c r="C115" s="22">
        <v>-1.6E-2</v>
      </c>
      <c r="D115" s="20">
        <v>827.96</v>
      </c>
      <c r="E115" s="23">
        <v>7.6E-3</v>
      </c>
    </row>
    <row r="116" spans="1:5" x14ac:dyDescent="0.25">
      <c r="A116" s="21">
        <v>44633</v>
      </c>
      <c r="B116">
        <v>7.48</v>
      </c>
      <c r="C116" s="22">
        <v>1.3599999999999999E-2</v>
      </c>
      <c r="D116" s="20">
        <v>862.86</v>
      </c>
      <c r="E116" s="23">
        <v>4.2200000000000001E-2</v>
      </c>
    </row>
    <row r="117" spans="1:5" x14ac:dyDescent="0.25">
      <c r="A117" s="21">
        <v>44640</v>
      </c>
      <c r="B117">
        <v>7.16</v>
      </c>
      <c r="C117" s="22">
        <v>-4.2799999999999998E-2</v>
      </c>
      <c r="D117" s="20">
        <v>843.11</v>
      </c>
      <c r="E117" s="23">
        <v>-2.29E-2</v>
      </c>
    </row>
    <row r="118" spans="1:5" x14ac:dyDescent="0.25">
      <c r="A118" s="21">
        <v>44647</v>
      </c>
      <c r="B118">
        <v>7.5</v>
      </c>
      <c r="C118" s="22">
        <v>4.7500000000000001E-2</v>
      </c>
      <c r="D118" s="20">
        <v>890.7</v>
      </c>
      <c r="E118" s="23">
        <v>5.6399999999999999E-2</v>
      </c>
    </row>
    <row r="119" spans="1:5" x14ac:dyDescent="0.25">
      <c r="A119" s="21">
        <v>44654</v>
      </c>
      <c r="B119">
        <v>7.22</v>
      </c>
      <c r="C119" s="22">
        <v>-3.73E-2</v>
      </c>
      <c r="D119" s="20">
        <v>906.26</v>
      </c>
      <c r="E119" s="23">
        <v>1.7500000000000002E-2</v>
      </c>
    </row>
    <row r="120" spans="1:5" x14ac:dyDescent="0.25">
      <c r="A120" s="21">
        <v>44661</v>
      </c>
      <c r="B120">
        <v>7.54</v>
      </c>
      <c r="C120" s="22">
        <v>4.4299999999999999E-2</v>
      </c>
      <c r="D120" s="20">
        <v>918.96</v>
      </c>
      <c r="E120" s="23">
        <v>1.4E-2</v>
      </c>
    </row>
    <row r="121" spans="1:5" x14ac:dyDescent="0.25">
      <c r="A121" s="21">
        <v>44668</v>
      </c>
      <c r="B121">
        <v>7.28</v>
      </c>
      <c r="C121" s="22">
        <v>-3.4500000000000003E-2</v>
      </c>
      <c r="D121" s="20">
        <v>949.68</v>
      </c>
      <c r="E121" s="23">
        <v>3.3399999999999999E-2</v>
      </c>
    </row>
    <row r="122" spans="1:5" x14ac:dyDescent="0.25">
      <c r="A122" s="21">
        <v>44675</v>
      </c>
      <c r="B122">
        <v>7</v>
      </c>
      <c r="C122" s="22">
        <v>-3.85E-2</v>
      </c>
      <c r="D122" s="20">
        <v>922.43</v>
      </c>
      <c r="E122" s="23">
        <v>-2.87E-2</v>
      </c>
    </row>
    <row r="123" spans="1:5" x14ac:dyDescent="0.25">
      <c r="A123" s="21">
        <v>44682</v>
      </c>
      <c r="B123">
        <v>6.5</v>
      </c>
      <c r="C123" s="22">
        <v>-7.1400000000000005E-2</v>
      </c>
      <c r="D123" s="20">
        <v>866.75</v>
      </c>
      <c r="E123" s="23">
        <v>-6.0400000000000002E-2</v>
      </c>
    </row>
    <row r="124" spans="1:5" x14ac:dyDescent="0.25">
      <c r="A124" s="21">
        <v>44689</v>
      </c>
      <c r="B124">
        <v>6.46</v>
      </c>
      <c r="C124" s="22">
        <v>-6.1999999999999998E-3</v>
      </c>
      <c r="D124" s="20">
        <v>867.03</v>
      </c>
      <c r="E124" s="23">
        <v>2.9999999999999997E-4</v>
      </c>
    </row>
    <row r="125" spans="1:5" x14ac:dyDescent="0.25">
      <c r="A125" s="21">
        <v>44696</v>
      </c>
      <c r="B125">
        <v>6.4</v>
      </c>
      <c r="C125" s="22">
        <v>-9.2999999999999992E-3</v>
      </c>
      <c r="D125" s="20">
        <v>860.06</v>
      </c>
      <c r="E125" s="23">
        <v>-8.0000000000000002E-3</v>
      </c>
    </row>
    <row r="126" spans="1:5" x14ac:dyDescent="0.25">
      <c r="A126" s="21">
        <v>44703</v>
      </c>
      <c r="B126">
        <v>6.44</v>
      </c>
      <c r="C126" s="22">
        <v>6.1999999999999998E-3</v>
      </c>
      <c r="D126" s="20">
        <v>891.41</v>
      </c>
      <c r="E126" s="23">
        <v>3.6499999999999998E-2</v>
      </c>
    </row>
    <row r="127" spans="1:5" x14ac:dyDescent="0.25">
      <c r="A127" s="21">
        <v>44710</v>
      </c>
      <c r="B127">
        <v>6</v>
      </c>
      <c r="C127" s="22">
        <v>-6.83E-2</v>
      </c>
      <c r="D127" s="20">
        <v>896.89</v>
      </c>
      <c r="E127" s="23">
        <v>6.1000000000000004E-3</v>
      </c>
    </row>
    <row r="128" spans="1:5" x14ac:dyDescent="0.25">
      <c r="A128" s="21">
        <v>44717</v>
      </c>
      <c r="B128">
        <v>5.96</v>
      </c>
      <c r="C128" s="22">
        <v>-6.7000000000000002E-3</v>
      </c>
      <c r="D128" s="20">
        <v>862.55</v>
      </c>
      <c r="E128" s="23">
        <v>-3.8300000000000001E-2</v>
      </c>
    </row>
    <row r="129" spans="1:5" x14ac:dyDescent="0.25">
      <c r="A129" s="21">
        <v>44724</v>
      </c>
      <c r="B129">
        <v>5.72</v>
      </c>
      <c r="C129" s="22">
        <v>-4.0300000000000002E-2</v>
      </c>
      <c r="D129" s="20">
        <v>825.41</v>
      </c>
      <c r="E129" s="23">
        <v>-4.3099999999999999E-2</v>
      </c>
    </row>
    <row r="130" spans="1:5" x14ac:dyDescent="0.25">
      <c r="A130" s="21">
        <v>44731</v>
      </c>
      <c r="B130">
        <v>5.66</v>
      </c>
      <c r="C130" s="22">
        <v>-1.0500000000000001E-2</v>
      </c>
      <c r="D130" s="20">
        <v>834.83</v>
      </c>
      <c r="E130" s="23">
        <v>1.14E-2</v>
      </c>
    </row>
    <row r="131" spans="1:5" x14ac:dyDescent="0.25">
      <c r="A131" s="21">
        <v>44738</v>
      </c>
      <c r="B131">
        <v>5.5</v>
      </c>
      <c r="C131" s="22">
        <v>-2.8299999999999999E-2</v>
      </c>
      <c r="D131" s="20">
        <v>805.79</v>
      </c>
      <c r="E131" s="23">
        <v>-3.4799999999999998E-2</v>
      </c>
    </row>
    <row r="132" spans="1:5" x14ac:dyDescent="0.25">
      <c r="A132" s="21">
        <v>44745</v>
      </c>
      <c r="B132">
        <v>5.6</v>
      </c>
      <c r="C132" s="22">
        <v>1.8200000000000001E-2</v>
      </c>
      <c r="D132" s="20">
        <v>802.16</v>
      </c>
      <c r="E132" s="23">
        <v>-4.4999999999999997E-3</v>
      </c>
    </row>
    <row r="133" spans="1:5" x14ac:dyDescent="0.25">
      <c r="A133" s="21">
        <v>44752</v>
      </c>
      <c r="B133">
        <v>5.84</v>
      </c>
      <c r="C133" s="22">
        <v>4.2900000000000001E-2</v>
      </c>
      <c r="D133" s="20">
        <v>794.62</v>
      </c>
      <c r="E133" s="23">
        <v>-9.4000000000000004E-3</v>
      </c>
    </row>
    <row r="134" spans="1:5" x14ac:dyDescent="0.25">
      <c r="A134" s="21">
        <v>44759</v>
      </c>
      <c r="B134">
        <v>5.9</v>
      </c>
      <c r="C134" s="22">
        <v>1.03E-2</v>
      </c>
      <c r="D134" s="20">
        <v>829.97</v>
      </c>
      <c r="E134" s="23">
        <v>4.4499999999999998E-2</v>
      </c>
    </row>
    <row r="135" spans="1:5" x14ac:dyDescent="0.25">
      <c r="A135" s="21">
        <v>44766</v>
      </c>
      <c r="B135">
        <v>5.7</v>
      </c>
      <c r="C135" s="22">
        <v>-3.39E-2</v>
      </c>
      <c r="D135" s="20">
        <v>851.05</v>
      </c>
      <c r="E135" s="23">
        <v>2.5399999999999999E-2</v>
      </c>
    </row>
    <row r="136" spans="1:5" x14ac:dyDescent="0.25">
      <c r="A136" s="21">
        <v>44773</v>
      </c>
      <c r="B136">
        <v>5.98</v>
      </c>
      <c r="C136" s="22">
        <v>4.9099999999999998E-2</v>
      </c>
      <c r="D136" s="20">
        <v>849.23</v>
      </c>
      <c r="E136" s="23">
        <v>-2.0999999999999999E-3</v>
      </c>
    </row>
    <row r="137" spans="1:5" x14ac:dyDescent="0.25">
      <c r="A137" s="21">
        <v>44780</v>
      </c>
      <c r="B137">
        <v>5.96</v>
      </c>
      <c r="C137" s="22">
        <v>-3.3E-3</v>
      </c>
      <c r="D137" s="20">
        <v>878.76</v>
      </c>
      <c r="E137" s="23">
        <v>3.4799999999999998E-2</v>
      </c>
    </row>
    <row r="138" spans="1:5" x14ac:dyDescent="0.25">
      <c r="A138" s="21">
        <v>44787</v>
      </c>
      <c r="B138">
        <v>6.06</v>
      </c>
      <c r="C138" s="22">
        <v>1.6799999999999999E-2</v>
      </c>
      <c r="D138" s="20">
        <v>899.16</v>
      </c>
      <c r="E138" s="23">
        <v>2.3199999999999998E-2</v>
      </c>
    </row>
    <row r="139" spans="1:5" x14ac:dyDescent="0.25">
      <c r="A139" s="21">
        <v>44794</v>
      </c>
      <c r="B139">
        <v>5.92</v>
      </c>
      <c r="C139" s="22">
        <v>-2.3099999999999999E-2</v>
      </c>
      <c r="D139" s="20">
        <v>893.74</v>
      </c>
      <c r="E139" s="23">
        <v>-6.0000000000000001E-3</v>
      </c>
    </row>
    <row r="140" spans="1:5" x14ac:dyDescent="0.25">
      <c r="A140" s="21">
        <v>44801</v>
      </c>
      <c r="B140">
        <v>5.7</v>
      </c>
      <c r="C140" s="22">
        <v>-3.7199999999999997E-2</v>
      </c>
      <c r="D140" s="20">
        <v>844.78</v>
      </c>
      <c r="E140" s="23">
        <v>-5.4800000000000001E-2</v>
      </c>
    </row>
    <row r="141" spans="1:5" x14ac:dyDescent="0.25">
      <c r="A141" s="21">
        <v>44808</v>
      </c>
      <c r="B141">
        <v>5.32</v>
      </c>
      <c r="C141" s="22">
        <v>-6.6699999999999995E-2</v>
      </c>
      <c r="D141" s="20">
        <v>841.91</v>
      </c>
      <c r="E141" s="23">
        <v>-3.3999999999999998E-3</v>
      </c>
    </row>
    <row r="142" spans="1:5" x14ac:dyDescent="0.25">
      <c r="A142" s="21">
        <v>44815</v>
      </c>
      <c r="B142">
        <v>5.36</v>
      </c>
      <c r="C142" s="22">
        <v>7.4999999999999997E-3</v>
      </c>
      <c r="D142" s="20">
        <v>836.17</v>
      </c>
      <c r="E142" s="23">
        <v>-6.7999999999999996E-3</v>
      </c>
    </row>
    <row r="143" spans="1:5" x14ac:dyDescent="0.25">
      <c r="A143" s="21">
        <v>44822</v>
      </c>
      <c r="B143">
        <v>5.08</v>
      </c>
      <c r="C143" s="22">
        <v>-5.2200000000000003E-2</v>
      </c>
      <c r="D143" s="20">
        <v>798.11</v>
      </c>
      <c r="E143" s="23">
        <v>-4.5499999999999999E-2</v>
      </c>
    </row>
    <row r="144" spans="1:5" x14ac:dyDescent="0.25">
      <c r="A144" s="21">
        <v>44829</v>
      </c>
      <c r="B144">
        <v>5.0599999999999996</v>
      </c>
      <c r="C144" s="22">
        <v>-3.8999999999999998E-3</v>
      </c>
      <c r="D144" s="20">
        <v>792.9</v>
      </c>
      <c r="E144" s="23">
        <v>-6.4999999999999997E-3</v>
      </c>
    </row>
    <row r="145" spans="1:5" x14ac:dyDescent="0.25">
      <c r="A145" s="21">
        <v>44836</v>
      </c>
      <c r="B145">
        <v>5.5</v>
      </c>
      <c r="C145" s="22">
        <v>8.6999999999999994E-2</v>
      </c>
      <c r="D145" s="20">
        <v>814.06</v>
      </c>
      <c r="E145" s="23">
        <v>2.6700000000000002E-2</v>
      </c>
    </row>
    <row r="146" spans="1:5" x14ac:dyDescent="0.25">
      <c r="A146" s="21">
        <v>44843</v>
      </c>
      <c r="B146">
        <v>5.42</v>
      </c>
      <c r="C146" s="22">
        <v>-1.4500000000000001E-2</v>
      </c>
      <c r="D146" s="20">
        <v>832.32</v>
      </c>
      <c r="E146" s="23">
        <v>2.24E-2</v>
      </c>
    </row>
    <row r="147" spans="1:5" x14ac:dyDescent="0.25">
      <c r="A147" s="21">
        <v>44850</v>
      </c>
      <c r="B147">
        <v>5.36</v>
      </c>
      <c r="C147" s="22">
        <v>-1.11E-2</v>
      </c>
      <c r="D147" s="20">
        <v>854.99</v>
      </c>
      <c r="E147" s="23">
        <v>2.7199999999999998E-2</v>
      </c>
    </row>
    <row r="148" spans="1:5" x14ac:dyDescent="0.25">
      <c r="A148" s="21">
        <v>44857</v>
      </c>
      <c r="B148">
        <v>5.42</v>
      </c>
      <c r="C148" s="22">
        <v>1.12E-2</v>
      </c>
      <c r="D148" s="20">
        <v>860.76</v>
      </c>
      <c r="E148" s="23">
        <v>6.7000000000000002E-3</v>
      </c>
    </row>
    <row r="149" spans="1:5" x14ac:dyDescent="0.25">
      <c r="A149" s="21">
        <v>44864</v>
      </c>
      <c r="B149">
        <v>5.4</v>
      </c>
      <c r="C149" s="22">
        <v>-3.7000000000000002E-3</v>
      </c>
      <c r="D149" s="20">
        <v>879.1</v>
      </c>
      <c r="E149" s="23">
        <v>2.1299999999999999E-2</v>
      </c>
    </row>
    <row r="150" spans="1:5" x14ac:dyDescent="0.25">
      <c r="A150" s="21">
        <v>44871</v>
      </c>
      <c r="B150">
        <v>5.76</v>
      </c>
      <c r="C150" s="22">
        <v>6.6699999999999995E-2</v>
      </c>
      <c r="D150" s="20">
        <v>897.78</v>
      </c>
      <c r="E150" s="23">
        <v>2.12E-2</v>
      </c>
    </row>
    <row r="151" spans="1:5" x14ac:dyDescent="0.25">
      <c r="A151" s="21">
        <v>44878</v>
      </c>
      <c r="B151">
        <v>5.7</v>
      </c>
      <c r="C151" s="22">
        <v>-1.04E-2</v>
      </c>
      <c r="D151" s="20">
        <v>889.9</v>
      </c>
      <c r="E151" s="23">
        <v>-8.8000000000000005E-3</v>
      </c>
    </row>
    <row r="152" spans="1:5" x14ac:dyDescent="0.25">
      <c r="A152" s="21">
        <v>44885</v>
      </c>
      <c r="B152">
        <v>6.16</v>
      </c>
      <c r="C152" s="22">
        <v>8.0699999999999994E-2</v>
      </c>
      <c r="D152" s="20">
        <v>917.64</v>
      </c>
      <c r="E152" s="23">
        <v>3.1199999999999999E-2</v>
      </c>
    </row>
    <row r="153" spans="1:5" x14ac:dyDescent="0.25">
      <c r="A153" s="21">
        <v>44892</v>
      </c>
      <c r="B153">
        <v>5.88</v>
      </c>
      <c r="C153" s="22">
        <v>-4.5499999999999999E-2</v>
      </c>
      <c r="D153" s="20">
        <v>903.97</v>
      </c>
      <c r="E153" s="23">
        <v>-1.49E-2</v>
      </c>
    </row>
    <row r="154" spans="1:5" x14ac:dyDescent="0.25">
      <c r="A154" s="21">
        <v>44899</v>
      </c>
      <c r="B154">
        <v>6</v>
      </c>
      <c r="C154" s="22">
        <v>2.0400000000000001E-2</v>
      </c>
      <c r="D154" s="20">
        <v>915.99</v>
      </c>
      <c r="E154" s="23">
        <v>1.3299999999999999E-2</v>
      </c>
    </row>
    <row r="155" spans="1:5" x14ac:dyDescent="0.25">
      <c r="A155" s="21">
        <v>44906</v>
      </c>
      <c r="B155">
        <v>6.36</v>
      </c>
      <c r="C155" s="22">
        <v>0.06</v>
      </c>
      <c r="D155" s="20">
        <v>911.85</v>
      </c>
      <c r="E155" s="23">
        <v>-4.4999999999999997E-3</v>
      </c>
    </row>
    <row r="156" spans="1:5" x14ac:dyDescent="0.25">
      <c r="A156" s="21">
        <v>44913</v>
      </c>
      <c r="B156">
        <v>6.32</v>
      </c>
      <c r="C156" s="22">
        <v>-6.3E-3</v>
      </c>
      <c r="D156" s="20">
        <v>921.25</v>
      </c>
      <c r="E156" s="23">
        <v>1.03E-2</v>
      </c>
    </row>
    <row r="157" spans="1:5" x14ac:dyDescent="0.25">
      <c r="A157" s="21">
        <v>44920</v>
      </c>
      <c r="B157">
        <v>6.2</v>
      </c>
      <c r="C157" s="22">
        <v>-1.9E-2</v>
      </c>
      <c r="D157" s="20">
        <v>929.79</v>
      </c>
      <c r="E157" s="23">
        <v>9.2999999999999992E-3</v>
      </c>
    </row>
    <row r="158" spans="1:5" x14ac:dyDescent="0.25">
      <c r="A158" s="21">
        <v>44927</v>
      </c>
      <c r="B158">
        <v>6.48</v>
      </c>
      <c r="C158" s="22">
        <v>4.5199999999999997E-2</v>
      </c>
      <c r="D158" s="20">
        <v>951.45</v>
      </c>
      <c r="E158" s="23">
        <v>2.3300000000000001E-2</v>
      </c>
    </row>
    <row r="159" spans="1:5" x14ac:dyDescent="0.25">
      <c r="A159" s="21">
        <v>44934</v>
      </c>
      <c r="B159">
        <v>6.5</v>
      </c>
      <c r="C159" s="22">
        <v>3.0999999999999999E-3</v>
      </c>
      <c r="D159" s="20">
        <v>968.38</v>
      </c>
      <c r="E159" s="23">
        <v>1.78E-2</v>
      </c>
    </row>
    <row r="160" spans="1:5" x14ac:dyDescent="0.25">
      <c r="A160" s="21">
        <v>44941</v>
      </c>
      <c r="B160">
        <v>6.44</v>
      </c>
      <c r="C160" s="22">
        <v>-9.1999999999999998E-3</v>
      </c>
      <c r="D160" s="20">
        <v>979.06</v>
      </c>
      <c r="E160" s="23">
        <v>1.0999999999999999E-2</v>
      </c>
    </row>
    <row r="161" spans="1:5" x14ac:dyDescent="0.25">
      <c r="A161" s="21">
        <v>44948</v>
      </c>
      <c r="B161">
        <v>6.12</v>
      </c>
      <c r="C161" s="22">
        <v>-4.9700000000000001E-2</v>
      </c>
      <c r="D161" s="24">
        <v>1015.48</v>
      </c>
      <c r="E161" s="23">
        <v>3.7199999999999997E-2</v>
      </c>
    </row>
    <row r="162" spans="1:5" x14ac:dyDescent="0.25">
      <c r="A162" s="21">
        <v>44955</v>
      </c>
      <c r="B162">
        <v>6.2</v>
      </c>
      <c r="C162" s="22">
        <v>1.3100000000000001E-2</v>
      </c>
      <c r="D162" s="24">
        <v>1033.44</v>
      </c>
      <c r="E162" s="23">
        <v>1.77E-2</v>
      </c>
    </row>
    <row r="163" spans="1:5" x14ac:dyDescent="0.25">
      <c r="A163" s="21">
        <v>44962</v>
      </c>
      <c r="B163">
        <v>6.1</v>
      </c>
      <c r="C163" s="22">
        <v>-1.61E-2</v>
      </c>
      <c r="D163" s="24">
        <v>1068.1199999999999</v>
      </c>
      <c r="E163" s="23">
        <v>3.3599999999999998E-2</v>
      </c>
    </row>
    <row r="164" spans="1:5" x14ac:dyDescent="0.25">
      <c r="A164" s="21">
        <v>44969</v>
      </c>
      <c r="B164">
        <v>6.22</v>
      </c>
      <c r="C164" s="22">
        <v>1.9699999999999999E-2</v>
      </c>
      <c r="D164" s="24">
        <v>1102.76</v>
      </c>
      <c r="E164" s="23">
        <v>3.2399999999999998E-2</v>
      </c>
    </row>
    <row r="165" spans="1:5" x14ac:dyDescent="0.25">
      <c r="A165" s="21">
        <v>44976</v>
      </c>
      <c r="B165">
        <v>6.34</v>
      </c>
      <c r="C165" s="22">
        <v>1.9300000000000001E-2</v>
      </c>
      <c r="D165" s="24">
        <v>1113.3599999999999</v>
      </c>
      <c r="E165" s="23">
        <v>9.5999999999999992E-3</v>
      </c>
    </row>
    <row r="166" spans="1:5" x14ac:dyDescent="0.25">
      <c r="A166" s="21">
        <v>44983</v>
      </c>
      <c r="B166">
        <v>6.38</v>
      </c>
      <c r="C166" s="22">
        <v>6.3E-3</v>
      </c>
      <c r="D166" s="24">
        <v>1114.68</v>
      </c>
      <c r="E166" s="23">
        <v>1.1999999999999999E-3</v>
      </c>
    </row>
    <row r="167" spans="1:5" x14ac:dyDescent="0.25">
      <c r="A167" s="21">
        <v>44990</v>
      </c>
      <c r="B167">
        <v>6.58</v>
      </c>
      <c r="C167" s="22">
        <v>3.1300000000000001E-2</v>
      </c>
      <c r="D167" s="24">
        <v>1056.26</v>
      </c>
      <c r="E167" s="23">
        <v>-5.2400000000000002E-2</v>
      </c>
    </row>
    <row r="168" spans="1:5" x14ac:dyDescent="0.25">
      <c r="A168" s="21">
        <v>44997</v>
      </c>
      <c r="B168">
        <v>6.1</v>
      </c>
      <c r="C168" s="22">
        <v>-7.2900000000000006E-2</v>
      </c>
      <c r="D168" s="24">
        <v>1020.19</v>
      </c>
      <c r="E168" s="23">
        <v>-3.4099999999999998E-2</v>
      </c>
    </row>
    <row r="169" spans="1:5" x14ac:dyDescent="0.25">
      <c r="A169" s="21">
        <v>45004</v>
      </c>
      <c r="B169">
        <v>6.4</v>
      </c>
      <c r="C169" s="22">
        <v>4.9200000000000001E-2</v>
      </c>
      <c r="D169" s="24">
        <v>1021.16</v>
      </c>
      <c r="E169" s="23">
        <v>1E-3</v>
      </c>
    </row>
    <row r="170" spans="1:5" x14ac:dyDescent="0.25">
      <c r="A170" s="21">
        <v>45011</v>
      </c>
      <c r="B170">
        <v>6.34</v>
      </c>
      <c r="C170" s="22">
        <v>-9.4000000000000004E-3</v>
      </c>
      <c r="D170" s="24">
        <v>1054.5899999999999</v>
      </c>
      <c r="E170" s="23">
        <v>3.27E-2</v>
      </c>
    </row>
    <row r="171" spans="1:5" x14ac:dyDescent="0.25">
      <c r="A171" s="21">
        <v>45018</v>
      </c>
      <c r="B171">
        <v>6.32</v>
      </c>
      <c r="C171" s="22">
        <v>-3.2000000000000002E-3</v>
      </c>
      <c r="D171" s="24">
        <v>1074</v>
      </c>
      <c r="E171" s="23">
        <v>1.84E-2</v>
      </c>
    </row>
    <row r="172" spans="1:5" x14ac:dyDescent="0.25">
      <c r="A172" s="21">
        <v>45025</v>
      </c>
      <c r="B172">
        <v>6.5</v>
      </c>
      <c r="C172" s="22">
        <v>2.8500000000000001E-2</v>
      </c>
      <c r="D172" s="24">
        <v>1102.79</v>
      </c>
      <c r="E172" s="23">
        <v>2.6800000000000001E-2</v>
      </c>
    </row>
    <row r="173" spans="1:5" x14ac:dyDescent="0.25">
      <c r="A173" s="21">
        <v>45032</v>
      </c>
      <c r="B173">
        <v>6.46</v>
      </c>
      <c r="C173" s="22">
        <v>-6.1999999999999998E-3</v>
      </c>
      <c r="D173" s="24">
        <v>1111.33</v>
      </c>
      <c r="E173" s="23">
        <v>7.7000000000000002E-3</v>
      </c>
    </row>
    <row r="174" spans="1:5" x14ac:dyDescent="0.25">
      <c r="A174" s="21">
        <v>45039</v>
      </c>
      <c r="B174">
        <v>6.6</v>
      </c>
      <c r="C174" s="22">
        <v>2.1700000000000001E-2</v>
      </c>
      <c r="D174" s="24">
        <v>1085.1099999999999</v>
      </c>
      <c r="E174" s="23">
        <v>-2.3599999999999999E-2</v>
      </c>
    </row>
    <row r="175" spans="1:5" x14ac:dyDescent="0.25">
      <c r="A175" s="21">
        <v>45046</v>
      </c>
      <c r="B175">
        <v>6.92</v>
      </c>
      <c r="C175" s="22">
        <v>4.8500000000000001E-2</v>
      </c>
      <c r="D175" s="24">
        <v>1111.24</v>
      </c>
      <c r="E175" s="23">
        <v>2.41E-2</v>
      </c>
    </row>
    <row r="176" spans="1:5" x14ac:dyDescent="0.25">
      <c r="A176" s="21">
        <v>45053</v>
      </c>
      <c r="B176">
        <v>7.1</v>
      </c>
      <c r="C176" s="22">
        <v>2.5999999999999999E-2</v>
      </c>
      <c r="D176" s="24">
        <v>1122.75</v>
      </c>
      <c r="E176" s="23">
        <v>1.04E-2</v>
      </c>
    </row>
    <row r="177" spans="1:5" x14ac:dyDescent="0.25">
      <c r="A177" s="21">
        <v>45060</v>
      </c>
      <c r="B177">
        <v>7.18</v>
      </c>
      <c r="C177" s="22">
        <v>1.1299999999999999E-2</v>
      </c>
      <c r="D177" s="24">
        <v>1132.3399999999999</v>
      </c>
      <c r="E177" s="23">
        <v>8.5000000000000006E-3</v>
      </c>
    </row>
    <row r="178" spans="1:5" x14ac:dyDescent="0.25">
      <c r="A178" s="21">
        <v>45067</v>
      </c>
      <c r="B178">
        <v>8.16</v>
      </c>
      <c r="C178" s="22">
        <v>0.13650000000000001</v>
      </c>
      <c r="D178" s="24">
        <v>1220.8900000000001</v>
      </c>
      <c r="E178" s="23">
        <v>7.8200000000000006E-2</v>
      </c>
    </row>
    <row r="179" spans="1:5" x14ac:dyDescent="0.25">
      <c r="A179" s="21">
        <v>45074</v>
      </c>
      <c r="B179">
        <v>8</v>
      </c>
      <c r="C179" s="22">
        <v>-1.9599999999999999E-2</v>
      </c>
      <c r="D179" s="24">
        <v>1217.8599999999999</v>
      </c>
      <c r="E179" s="23">
        <v>-2.5000000000000001E-3</v>
      </c>
    </row>
    <row r="180" spans="1:5" x14ac:dyDescent="0.25">
      <c r="A180" s="21">
        <v>45081</v>
      </c>
      <c r="B180">
        <v>8.06</v>
      </c>
      <c r="C180" s="22">
        <v>7.4999999999999997E-3</v>
      </c>
      <c r="D180" s="24">
        <v>1261.67</v>
      </c>
      <c r="E180" s="23">
        <v>3.5999999999999997E-2</v>
      </c>
    </row>
    <row r="181" spans="1:5" x14ac:dyDescent="0.25">
      <c r="A181" s="21">
        <v>45088</v>
      </c>
      <c r="B181">
        <v>7.96</v>
      </c>
      <c r="C181" s="22">
        <v>-1.24E-2</v>
      </c>
      <c r="D181" s="24">
        <v>1277.56</v>
      </c>
      <c r="E181" s="23">
        <v>1.26E-2</v>
      </c>
    </row>
    <row r="182" spans="1:5" x14ac:dyDescent="0.25">
      <c r="A182" s="21">
        <v>45095</v>
      </c>
      <c r="B182">
        <v>7.94</v>
      </c>
      <c r="C182" s="22">
        <v>-2.5000000000000001E-3</v>
      </c>
      <c r="D182" s="24">
        <v>1268.71</v>
      </c>
      <c r="E182" s="23">
        <v>-6.8999999999999999E-3</v>
      </c>
    </row>
    <row r="183" spans="1:5" x14ac:dyDescent="0.25">
      <c r="A183" s="21">
        <v>45102</v>
      </c>
      <c r="B183">
        <v>7.96</v>
      </c>
      <c r="C183" s="22">
        <v>2.5000000000000001E-3</v>
      </c>
      <c r="D183" s="24">
        <v>1278.6099999999999</v>
      </c>
      <c r="E183" s="23">
        <v>7.7999999999999996E-3</v>
      </c>
    </row>
    <row r="184" spans="1:5" x14ac:dyDescent="0.25">
      <c r="A184" s="21">
        <v>45109</v>
      </c>
      <c r="B184">
        <v>7.98</v>
      </c>
      <c r="C184" s="22">
        <v>2.5000000000000001E-3</v>
      </c>
      <c r="D184" s="24">
        <v>1278.3</v>
      </c>
      <c r="E184" s="23">
        <v>-2.0000000000000001E-4</v>
      </c>
    </row>
    <row r="185" spans="1:5" x14ac:dyDescent="0.25">
      <c r="A185" s="21">
        <v>45116</v>
      </c>
      <c r="B185">
        <v>8.2200000000000006</v>
      </c>
      <c r="C185" s="22">
        <v>3.0099999999999998E-2</v>
      </c>
      <c r="D185" s="24">
        <v>1325.61</v>
      </c>
      <c r="E185" s="23">
        <v>3.6999999999999998E-2</v>
      </c>
    </row>
    <row r="186" spans="1:5" x14ac:dyDescent="0.25">
      <c r="A186" s="21">
        <v>45123</v>
      </c>
      <c r="B186">
        <v>8.36</v>
      </c>
      <c r="C186" s="22">
        <v>1.7000000000000001E-2</v>
      </c>
      <c r="D186" s="24">
        <v>1339.18</v>
      </c>
      <c r="E186" s="23">
        <v>1.0200000000000001E-2</v>
      </c>
    </row>
    <row r="187" spans="1:5" x14ac:dyDescent="0.25">
      <c r="A187" s="21">
        <v>45130</v>
      </c>
      <c r="B187">
        <v>8.6</v>
      </c>
      <c r="C187" s="22">
        <v>2.87E-2</v>
      </c>
      <c r="D187" s="24">
        <v>1333.86</v>
      </c>
      <c r="E187" s="23">
        <v>-4.0000000000000001E-3</v>
      </c>
    </row>
    <row r="188" spans="1:5" x14ac:dyDescent="0.25">
      <c r="A188" s="21">
        <v>45137</v>
      </c>
      <c r="B188">
        <v>8.6</v>
      </c>
      <c r="C188" s="22">
        <v>0</v>
      </c>
      <c r="D188" s="24">
        <v>1319.52</v>
      </c>
      <c r="E188" s="23">
        <v>-1.0800000000000001E-2</v>
      </c>
    </row>
    <row r="189" spans="1:5" x14ac:dyDescent="0.25">
      <c r="A189" s="21">
        <v>45144</v>
      </c>
      <c r="B189">
        <v>8.34</v>
      </c>
      <c r="C189" s="22">
        <v>-3.0200000000000001E-2</v>
      </c>
      <c r="D189" s="24">
        <v>1286.8599999999999</v>
      </c>
      <c r="E189" s="23">
        <v>-2.4799999999999999E-2</v>
      </c>
    </row>
    <row r="190" spans="1:5" x14ac:dyDescent="0.25">
      <c r="A190" s="21">
        <v>45151</v>
      </c>
      <c r="B190">
        <v>8.1999999999999993</v>
      </c>
      <c r="C190" s="22">
        <v>-1.6799999999999999E-2</v>
      </c>
      <c r="D190" s="24">
        <v>1263.3399999999999</v>
      </c>
      <c r="E190" s="23">
        <v>-1.83E-2</v>
      </c>
    </row>
    <row r="191" spans="1:5" x14ac:dyDescent="0.25">
      <c r="A191" s="21">
        <v>45158</v>
      </c>
      <c r="B191">
        <v>8.4</v>
      </c>
      <c r="C191" s="22">
        <v>2.4400000000000002E-2</v>
      </c>
      <c r="D191" s="24">
        <v>1299.76</v>
      </c>
      <c r="E191" s="23">
        <v>2.8799999999999999E-2</v>
      </c>
    </row>
    <row r="192" spans="1:5" x14ac:dyDescent="0.25">
      <c r="A192" s="21">
        <v>45165</v>
      </c>
      <c r="B192">
        <v>8.26</v>
      </c>
      <c r="C192" s="22">
        <v>-1.67E-2</v>
      </c>
      <c r="D192" s="24">
        <v>1299.47</v>
      </c>
      <c r="E192" s="23">
        <v>-2.0000000000000001E-4</v>
      </c>
    </row>
    <row r="193" spans="1:5" x14ac:dyDescent="0.25">
      <c r="A193" s="21">
        <v>45172</v>
      </c>
      <c r="B193">
        <v>7.88</v>
      </c>
      <c r="C193" s="22">
        <v>-4.5999999999999999E-2</v>
      </c>
      <c r="D193" s="24">
        <v>1259.5</v>
      </c>
      <c r="E193" s="23">
        <v>-3.0800000000000001E-2</v>
      </c>
    </row>
    <row r="194" spans="1:5" x14ac:dyDescent="0.25">
      <c r="A194" s="21">
        <v>45179</v>
      </c>
      <c r="B194">
        <v>7.8</v>
      </c>
      <c r="C194" s="22">
        <v>-1.0200000000000001E-2</v>
      </c>
      <c r="D194" s="24">
        <v>1258.58</v>
      </c>
      <c r="E194" s="23">
        <v>-6.9999999999999999E-4</v>
      </c>
    </row>
    <row r="195" spans="1:5" x14ac:dyDescent="0.25">
      <c r="A195" s="21">
        <v>45186</v>
      </c>
      <c r="B195">
        <v>7.82</v>
      </c>
      <c r="C195" s="22">
        <v>2.5999999999999999E-3</v>
      </c>
      <c r="D195" s="24">
        <v>1217.75</v>
      </c>
      <c r="E195" s="23">
        <v>-3.2399999999999998E-2</v>
      </c>
    </row>
    <row r="196" spans="1:5" x14ac:dyDescent="0.25">
      <c r="A196" s="21">
        <v>45193</v>
      </c>
      <c r="B196">
        <v>8.32</v>
      </c>
      <c r="C196" s="22">
        <v>6.3899999999999998E-2</v>
      </c>
      <c r="D196" s="24">
        <v>1209.3399999999999</v>
      </c>
      <c r="E196" s="23">
        <v>-6.8999999999999999E-3</v>
      </c>
    </row>
    <row r="197" spans="1:5" x14ac:dyDescent="0.25">
      <c r="A197" s="21">
        <v>45200</v>
      </c>
      <c r="B197">
        <v>8.1999999999999993</v>
      </c>
      <c r="C197" s="22">
        <v>-1.44E-2</v>
      </c>
      <c r="D197" s="24">
        <v>1136.93</v>
      </c>
      <c r="E197" s="23">
        <v>-5.9900000000000002E-2</v>
      </c>
    </row>
    <row r="198" spans="1:5" x14ac:dyDescent="0.25">
      <c r="A198" s="21">
        <v>45207</v>
      </c>
      <c r="B198">
        <v>7.92</v>
      </c>
      <c r="C198" s="22">
        <v>-3.4099999999999998E-2</v>
      </c>
      <c r="D198" s="24">
        <v>1169.6600000000001</v>
      </c>
      <c r="E198" s="23">
        <v>2.8799999999999999E-2</v>
      </c>
    </row>
    <row r="199" spans="1:5" x14ac:dyDescent="0.25">
      <c r="A199" s="21">
        <v>45214</v>
      </c>
      <c r="B199">
        <v>8.1</v>
      </c>
      <c r="C199" s="22">
        <v>2.2700000000000001E-2</v>
      </c>
      <c r="D199" s="24">
        <v>1174.9100000000001</v>
      </c>
      <c r="E199" s="23">
        <v>4.4999999999999997E-3</v>
      </c>
    </row>
    <row r="200" spans="1:5" x14ac:dyDescent="0.25">
      <c r="A200" s="21">
        <v>45221</v>
      </c>
      <c r="B200">
        <v>8.08</v>
      </c>
      <c r="C200" s="22">
        <v>-2.5000000000000001E-3</v>
      </c>
      <c r="D200" s="24">
        <v>1178.79</v>
      </c>
      <c r="E200" s="23">
        <v>3.3E-3</v>
      </c>
    </row>
    <row r="201" spans="1:5" x14ac:dyDescent="0.25">
      <c r="A201" s="21">
        <v>45228</v>
      </c>
      <c r="B201">
        <v>8.1199999999999992</v>
      </c>
      <c r="C201" s="22">
        <v>5.0000000000000001E-3</v>
      </c>
      <c r="D201" s="24">
        <v>1219.77</v>
      </c>
      <c r="E201" s="23">
        <v>3.4799999999999998E-2</v>
      </c>
    </row>
    <row r="202" spans="1:5" x14ac:dyDescent="0.25">
      <c r="A202" s="21">
        <v>45235</v>
      </c>
      <c r="B202">
        <v>8.56</v>
      </c>
      <c r="C202" s="22">
        <v>5.4199999999999998E-2</v>
      </c>
      <c r="D202" s="24">
        <v>1203.08</v>
      </c>
      <c r="E202" s="23">
        <v>-1.37E-2</v>
      </c>
    </row>
    <row r="203" spans="1:5" x14ac:dyDescent="0.25">
      <c r="A203" s="21">
        <v>45242</v>
      </c>
      <c r="B203">
        <v>8.5</v>
      </c>
      <c r="C203" s="22">
        <v>-7.0000000000000001E-3</v>
      </c>
      <c r="D203" s="24">
        <v>1250.44</v>
      </c>
      <c r="E203" s="23">
        <v>3.9399999999999998E-2</v>
      </c>
    </row>
    <row r="204" spans="1:5" x14ac:dyDescent="0.25">
      <c r="A204" s="21">
        <v>45249</v>
      </c>
      <c r="B204">
        <v>8.98</v>
      </c>
      <c r="C204" s="22">
        <v>5.6500000000000002E-2</v>
      </c>
      <c r="D204" s="24">
        <v>1258.73</v>
      </c>
      <c r="E204" s="23">
        <v>6.6E-3</v>
      </c>
    </row>
    <row r="205" spans="1:5" x14ac:dyDescent="0.25">
      <c r="A205" s="21">
        <v>45256</v>
      </c>
      <c r="B205">
        <v>9.44</v>
      </c>
      <c r="C205" s="22">
        <v>5.1200000000000002E-2</v>
      </c>
      <c r="D205" s="24">
        <v>1280.1099999999999</v>
      </c>
      <c r="E205" s="23">
        <v>1.7000000000000001E-2</v>
      </c>
    </row>
    <row r="206" spans="1:5" x14ac:dyDescent="0.25">
      <c r="A206" s="21">
        <v>45263</v>
      </c>
      <c r="B206">
        <v>9.42</v>
      </c>
      <c r="C206" s="22">
        <v>-2.0999999999999999E-3</v>
      </c>
      <c r="D206" s="24">
        <v>1275.0899999999999</v>
      </c>
      <c r="E206" s="23">
        <v>-3.8999999999999998E-3</v>
      </c>
    </row>
    <row r="207" spans="1:5" x14ac:dyDescent="0.25">
      <c r="A207" s="21">
        <v>45270</v>
      </c>
      <c r="B207">
        <v>9.5</v>
      </c>
      <c r="C207" s="22">
        <v>8.5000000000000006E-3</v>
      </c>
      <c r="D207" s="24">
        <v>1290.79</v>
      </c>
      <c r="E207" s="23">
        <v>1.23E-2</v>
      </c>
    </row>
    <row r="208" spans="1:5" x14ac:dyDescent="0.25">
      <c r="A208" s="21">
        <v>45277</v>
      </c>
      <c r="B208">
        <v>9.5399999999999991</v>
      </c>
      <c r="C208" s="22">
        <v>4.1999999999999997E-3</v>
      </c>
      <c r="D208" s="24">
        <v>1290.8900000000001</v>
      </c>
      <c r="E208" s="23">
        <v>1E-4</v>
      </c>
    </row>
    <row r="209" spans="1:5" x14ac:dyDescent="0.25">
      <c r="A209" s="21">
        <v>45284</v>
      </c>
      <c r="B209">
        <v>9.58</v>
      </c>
      <c r="C209" s="22">
        <v>4.1999999999999997E-3</v>
      </c>
      <c r="D209" s="24">
        <v>1293.1400000000001</v>
      </c>
      <c r="E209" s="23">
        <v>1.6999999999999999E-3</v>
      </c>
    </row>
    <row r="210" spans="1:5" x14ac:dyDescent="0.25">
      <c r="A210" s="21">
        <v>45291</v>
      </c>
      <c r="B210">
        <v>9.8000000000000007</v>
      </c>
      <c r="C210" s="22">
        <v>2.3E-2</v>
      </c>
      <c r="D210" s="24">
        <v>1311.67</v>
      </c>
      <c r="E210" s="23">
        <v>1.43E-2</v>
      </c>
    </row>
    <row r="211" spans="1:5" x14ac:dyDescent="0.25">
      <c r="A211" s="21">
        <v>45298</v>
      </c>
      <c r="B211">
        <v>9.8800000000000008</v>
      </c>
      <c r="C211" s="22">
        <v>8.2000000000000007E-3</v>
      </c>
      <c r="D211" s="24">
        <v>1352.65</v>
      </c>
      <c r="E211" s="23">
        <v>3.1199999999999999E-2</v>
      </c>
    </row>
    <row r="212" spans="1:5" x14ac:dyDescent="0.25">
      <c r="A212" s="21">
        <v>45305</v>
      </c>
      <c r="B212">
        <v>9.92</v>
      </c>
      <c r="C212" s="22">
        <v>4.0000000000000001E-3</v>
      </c>
      <c r="D212" s="24">
        <v>1340.03</v>
      </c>
      <c r="E212" s="23">
        <v>-9.2999999999999992E-3</v>
      </c>
    </row>
    <row r="213" spans="1:5" x14ac:dyDescent="0.25">
      <c r="A213" s="21">
        <v>45312</v>
      </c>
      <c r="B213">
        <v>9.8800000000000008</v>
      </c>
      <c r="C213" s="22">
        <v>-4.0000000000000001E-3</v>
      </c>
      <c r="D213" s="24">
        <v>1360.89</v>
      </c>
      <c r="E213" s="23">
        <v>1.5599999999999999E-2</v>
      </c>
    </row>
    <row r="214" spans="1:5" x14ac:dyDescent="0.25">
      <c r="A214" s="21">
        <v>45319</v>
      </c>
      <c r="B214">
        <v>9.9</v>
      </c>
      <c r="C214" s="22">
        <v>2E-3</v>
      </c>
      <c r="D214" s="24">
        <v>1385.01</v>
      </c>
      <c r="E214" s="23">
        <v>1.77E-2</v>
      </c>
    </row>
    <row r="215" spans="1:5" x14ac:dyDescent="0.25">
      <c r="A215" s="21">
        <v>45326</v>
      </c>
      <c r="B215">
        <v>9.9</v>
      </c>
      <c r="C215" s="22">
        <v>0</v>
      </c>
      <c r="D215" s="24">
        <v>1401.01</v>
      </c>
      <c r="E215" s="23">
        <v>1.1599999999999999E-2</v>
      </c>
    </row>
    <row r="216" spans="1:5" x14ac:dyDescent="0.25">
      <c r="A216" s="21">
        <v>45333</v>
      </c>
      <c r="B216">
        <v>9.9</v>
      </c>
      <c r="C216" s="22">
        <v>0</v>
      </c>
      <c r="D216" s="24">
        <v>1405.32</v>
      </c>
      <c r="E216" s="23">
        <v>3.0999999999999999E-3</v>
      </c>
    </row>
    <row r="217" spans="1:5" x14ac:dyDescent="0.25">
      <c r="A217" s="21">
        <v>45340</v>
      </c>
      <c r="B217">
        <v>10.55</v>
      </c>
      <c r="C217" s="22">
        <v>6.5699999999999995E-2</v>
      </c>
      <c r="D217" s="24">
        <v>1413.26</v>
      </c>
      <c r="E217" s="23">
        <v>5.7000000000000002E-3</v>
      </c>
    </row>
    <row r="218" spans="1:5" x14ac:dyDescent="0.25">
      <c r="A218" s="21">
        <v>45347</v>
      </c>
      <c r="B218">
        <v>10.85</v>
      </c>
      <c r="C218" s="22">
        <v>2.8400000000000002E-2</v>
      </c>
      <c r="D218" s="24">
        <v>1422.75</v>
      </c>
      <c r="E218" s="23">
        <v>6.7000000000000002E-3</v>
      </c>
    </row>
    <row r="219" spans="1:5" x14ac:dyDescent="0.25">
      <c r="A219" s="21">
        <v>45354</v>
      </c>
      <c r="B219">
        <v>10.95</v>
      </c>
      <c r="C219" s="22">
        <v>9.1999999999999998E-3</v>
      </c>
      <c r="D219" s="24">
        <v>1427.02</v>
      </c>
      <c r="E219" s="23">
        <v>3.0000000000000001E-3</v>
      </c>
    </row>
    <row r="220" spans="1:5" x14ac:dyDescent="0.25">
      <c r="A220" s="21">
        <v>45361</v>
      </c>
      <c r="B220">
        <v>12</v>
      </c>
      <c r="C220" s="22">
        <v>9.5899999999999999E-2</v>
      </c>
      <c r="D220" s="24">
        <v>1422.03</v>
      </c>
      <c r="E220" s="23">
        <v>-3.5000000000000001E-3</v>
      </c>
    </row>
    <row r="221" spans="1:5" x14ac:dyDescent="0.25">
      <c r="A221" s="21">
        <v>45368</v>
      </c>
      <c r="B221">
        <v>11.8</v>
      </c>
      <c r="C221" s="22">
        <v>-1.67E-2</v>
      </c>
      <c r="D221" s="24">
        <v>1425.16</v>
      </c>
      <c r="E221" s="23">
        <v>2.2000000000000001E-3</v>
      </c>
    </row>
    <row r="222" spans="1:5" x14ac:dyDescent="0.25">
      <c r="A222" s="21">
        <v>45375</v>
      </c>
      <c r="B222">
        <v>11.7</v>
      </c>
      <c r="C222" s="22">
        <v>-8.5000000000000006E-3</v>
      </c>
      <c r="D222" s="24">
        <v>1422.35</v>
      </c>
      <c r="E222" s="23">
        <v>-2E-3</v>
      </c>
    </row>
    <row r="223" spans="1:5" x14ac:dyDescent="0.25">
      <c r="A223" s="21">
        <v>45382</v>
      </c>
      <c r="B223">
        <v>10.9</v>
      </c>
      <c r="C223" s="22">
        <v>-6.8400000000000002E-2</v>
      </c>
      <c r="D223" s="24">
        <v>1383.45</v>
      </c>
      <c r="E223" s="23">
        <v>-2.7300000000000001E-2</v>
      </c>
    </row>
    <row r="224" spans="1:5" x14ac:dyDescent="0.25">
      <c r="A224" s="21">
        <v>45389</v>
      </c>
      <c r="B224">
        <v>11.3</v>
      </c>
      <c r="C224" s="22">
        <v>3.6700000000000003E-2</v>
      </c>
      <c r="D224" s="24">
        <v>1400.61</v>
      </c>
      <c r="E224" s="23">
        <v>1.24E-2</v>
      </c>
    </row>
    <row r="225" spans="1:5" x14ac:dyDescent="0.25">
      <c r="A225" s="21">
        <v>45396</v>
      </c>
      <c r="B225">
        <v>11.2</v>
      </c>
      <c r="C225" s="22">
        <v>-8.8000000000000005E-3</v>
      </c>
      <c r="D225" s="24">
        <v>1392.62</v>
      </c>
      <c r="E225" s="23">
        <v>-5.7000000000000002E-3</v>
      </c>
    </row>
    <row r="226" spans="1:5" x14ac:dyDescent="0.25">
      <c r="A226" s="21">
        <v>45403</v>
      </c>
      <c r="B226">
        <v>10.95</v>
      </c>
      <c r="C226" s="22">
        <v>-2.23E-2</v>
      </c>
      <c r="D226" s="24">
        <v>1454.98</v>
      </c>
      <c r="E226" s="23">
        <v>4.48E-2</v>
      </c>
    </row>
    <row r="227" spans="1:5" x14ac:dyDescent="0.25">
      <c r="A227" s="21">
        <v>45410</v>
      </c>
      <c r="B227">
        <v>10.6</v>
      </c>
      <c r="C227" s="22">
        <v>-3.2000000000000001E-2</v>
      </c>
      <c r="D227" s="24">
        <v>1452.24</v>
      </c>
      <c r="E227" s="23">
        <v>-1.9E-3</v>
      </c>
    </row>
    <row r="228" spans="1:5" x14ac:dyDescent="0.25">
      <c r="A228" s="21">
        <v>45417</v>
      </c>
      <c r="B228">
        <v>10.65</v>
      </c>
      <c r="C228" s="22">
        <v>4.7000000000000002E-3</v>
      </c>
      <c r="D228" s="24">
        <v>1484.06</v>
      </c>
      <c r="E228" s="23">
        <v>2.1899999999999999E-2</v>
      </c>
    </row>
    <row r="229" spans="1:5" x14ac:dyDescent="0.25">
      <c r="A229" s="21">
        <v>45424</v>
      </c>
      <c r="B229">
        <v>11</v>
      </c>
      <c r="C229" s="22">
        <v>3.2899999999999999E-2</v>
      </c>
      <c r="D229" s="24">
        <v>1490.46</v>
      </c>
      <c r="E229" s="23">
        <v>4.3E-3</v>
      </c>
    </row>
    <row r="230" spans="1:5" x14ac:dyDescent="0.25">
      <c r="A230" s="21">
        <v>45431</v>
      </c>
      <c r="B230">
        <v>11.3</v>
      </c>
      <c r="C230" s="22">
        <v>2.7300000000000001E-2</v>
      </c>
      <c r="D230" s="24">
        <v>1477.69</v>
      </c>
      <c r="E230" s="23">
        <v>-8.6E-3</v>
      </c>
    </row>
    <row r="231" spans="1:5" x14ac:dyDescent="0.25">
      <c r="A231" s="21">
        <v>45438</v>
      </c>
      <c r="B231">
        <v>11.15</v>
      </c>
      <c r="C231" s="22">
        <v>-1.3299999999999999E-2</v>
      </c>
      <c r="D231" s="24">
        <v>1431.84</v>
      </c>
      <c r="E231" s="23">
        <v>-3.1E-2</v>
      </c>
    </row>
    <row r="232" spans="1:5" x14ac:dyDescent="0.25">
      <c r="A232" s="21">
        <v>45445</v>
      </c>
      <c r="B232">
        <v>11</v>
      </c>
      <c r="C232" s="22">
        <v>-1.35E-2</v>
      </c>
      <c r="D232" s="24">
        <v>1458.37</v>
      </c>
      <c r="E232" s="23">
        <v>1.8499999999999999E-2</v>
      </c>
    </row>
    <row r="233" spans="1:5" x14ac:dyDescent="0.25">
      <c r="A233" s="21">
        <v>45452</v>
      </c>
      <c r="B233">
        <v>10.5</v>
      </c>
      <c r="C233" s="22">
        <v>-4.5499999999999999E-2</v>
      </c>
      <c r="D233" s="24">
        <v>1406.91</v>
      </c>
      <c r="E233" s="23">
        <v>-3.5299999999999998E-2</v>
      </c>
    </row>
    <row r="234" spans="1:5" x14ac:dyDescent="0.25">
      <c r="A234" s="21">
        <v>45459</v>
      </c>
      <c r="B234">
        <v>10.65</v>
      </c>
      <c r="C234" s="22">
        <v>1.43E-2</v>
      </c>
      <c r="D234" s="24">
        <v>1424.04</v>
      </c>
      <c r="E234" s="23">
        <v>1.2200000000000001E-2</v>
      </c>
    </row>
    <row r="235" spans="1:5" x14ac:dyDescent="0.25">
      <c r="A235" s="21">
        <v>45466</v>
      </c>
      <c r="B235">
        <v>11.35</v>
      </c>
      <c r="C235" s="22">
        <v>6.5699999999999995E-2</v>
      </c>
      <c r="D235" s="24">
        <v>1404.26</v>
      </c>
      <c r="E235" s="23">
        <v>-1.3899999999999999E-2</v>
      </c>
    </row>
    <row r="236" spans="1:5" x14ac:dyDescent="0.25">
      <c r="A236" s="21">
        <v>45473</v>
      </c>
      <c r="B236">
        <v>11.6</v>
      </c>
      <c r="C236" s="22">
        <v>2.1999999999999999E-2</v>
      </c>
      <c r="D236" s="24">
        <v>1440.52</v>
      </c>
      <c r="E236" s="23">
        <v>2.58E-2</v>
      </c>
    </row>
    <row r="237" spans="1:5" x14ac:dyDescent="0.25">
      <c r="A237" s="21">
        <v>45480</v>
      </c>
      <c r="B237">
        <v>11.5</v>
      </c>
      <c r="C237" s="22">
        <v>-8.6E-3</v>
      </c>
      <c r="D237" s="24">
        <v>1452.28</v>
      </c>
      <c r="E237" s="23">
        <v>8.2000000000000007E-3</v>
      </c>
    </row>
    <row r="238" spans="1:5" x14ac:dyDescent="0.25">
      <c r="A238" s="21">
        <v>45487</v>
      </c>
      <c r="B238">
        <v>11.4</v>
      </c>
      <c r="C238" s="22">
        <v>-8.6999999999999994E-3</v>
      </c>
      <c r="D238" s="24">
        <v>1464.39</v>
      </c>
      <c r="E238" s="23">
        <v>8.3000000000000001E-3</v>
      </c>
    </row>
    <row r="239" spans="1:5" x14ac:dyDescent="0.25">
      <c r="A239" s="21">
        <v>45494</v>
      </c>
      <c r="B239">
        <v>11.55</v>
      </c>
      <c r="C239" s="22">
        <v>1.32E-2</v>
      </c>
      <c r="D239" s="24">
        <v>1469.25</v>
      </c>
      <c r="E239" s="23">
        <v>3.3E-3</v>
      </c>
    </row>
    <row r="240" spans="1:5" x14ac:dyDescent="0.25">
      <c r="A240" s="21">
        <v>45501</v>
      </c>
      <c r="B240">
        <v>11.05</v>
      </c>
      <c r="C240" s="22">
        <v>-4.3299999999999998E-2</v>
      </c>
      <c r="D240" s="24">
        <v>1430.9</v>
      </c>
      <c r="E240" s="23">
        <v>-2.6100000000000002E-2</v>
      </c>
    </row>
    <row r="241" spans="1:5" x14ac:dyDescent="0.25">
      <c r="A241" s="21">
        <v>45508</v>
      </c>
      <c r="B241">
        <v>11.4</v>
      </c>
      <c r="C241" s="22">
        <v>3.1699999999999999E-2</v>
      </c>
      <c r="D241" s="24">
        <v>1383.31</v>
      </c>
      <c r="E241" s="23">
        <v>-3.3300000000000003E-2</v>
      </c>
    </row>
    <row r="242" spans="1:5" x14ac:dyDescent="0.25">
      <c r="A242" s="21">
        <v>45515</v>
      </c>
      <c r="B242">
        <v>12</v>
      </c>
      <c r="C242" s="22">
        <v>5.2600000000000001E-2</v>
      </c>
      <c r="D242" s="24">
        <v>1431.88</v>
      </c>
      <c r="E242" s="23">
        <v>3.5099999999999999E-2</v>
      </c>
    </row>
    <row r="243" spans="1:5" x14ac:dyDescent="0.25">
      <c r="A243" s="21">
        <v>45522</v>
      </c>
      <c r="B243">
        <v>12.3</v>
      </c>
      <c r="C243" s="22">
        <v>2.5000000000000001E-2</v>
      </c>
      <c r="D243" s="24">
        <v>1432.6</v>
      </c>
      <c r="E243" s="23">
        <v>5.0000000000000001E-4</v>
      </c>
    </row>
    <row r="244" spans="1:5" x14ac:dyDescent="0.25">
      <c r="A244" s="21">
        <v>45529</v>
      </c>
      <c r="B244">
        <v>12.2</v>
      </c>
      <c r="C244" s="22">
        <v>-8.0999999999999996E-3</v>
      </c>
      <c r="D244" s="24">
        <v>1431.19</v>
      </c>
      <c r="E244" s="23">
        <v>-1E-3</v>
      </c>
    </row>
    <row r="245" spans="1:5" x14ac:dyDescent="0.25">
      <c r="A245" s="21">
        <v>45536</v>
      </c>
      <c r="B245">
        <v>12.35</v>
      </c>
      <c r="C245" s="22">
        <v>1.23E-2</v>
      </c>
      <c r="D245" s="24">
        <v>1443.13</v>
      </c>
      <c r="E245" s="23">
        <v>8.3000000000000001E-3</v>
      </c>
    </row>
    <row r="246" spans="1:5" x14ac:dyDescent="0.25">
      <c r="A246" s="21">
        <v>45543</v>
      </c>
      <c r="B246">
        <v>12.4</v>
      </c>
      <c r="C246" s="22">
        <v>4.0000000000000001E-3</v>
      </c>
      <c r="D246" s="24">
        <v>1419.24</v>
      </c>
      <c r="E246" s="23">
        <v>-1.66E-2</v>
      </c>
    </row>
    <row r="247" spans="1:5" x14ac:dyDescent="0.25">
      <c r="A247" s="21">
        <v>45550</v>
      </c>
      <c r="B247">
        <v>13.1</v>
      </c>
      <c r="C247" s="22">
        <v>5.6500000000000002E-2</v>
      </c>
      <c r="D247" s="24">
        <v>1425.19</v>
      </c>
      <c r="E247" s="23">
        <v>4.1999999999999997E-3</v>
      </c>
    </row>
    <row r="248" spans="1:5" x14ac:dyDescent="0.25">
      <c r="A248" s="21">
        <v>45557</v>
      </c>
      <c r="B248">
        <v>13.45</v>
      </c>
      <c r="C248" s="22">
        <v>2.6700000000000002E-2</v>
      </c>
      <c r="D248" s="24">
        <v>1468.7</v>
      </c>
      <c r="E248" s="23">
        <v>3.0499999999999999E-2</v>
      </c>
    </row>
    <row r="249" spans="1:5" x14ac:dyDescent="0.25">
      <c r="A249" s="21">
        <v>45564</v>
      </c>
      <c r="B249">
        <v>13.1</v>
      </c>
      <c r="C249" s="22">
        <v>-2.5999999999999999E-2</v>
      </c>
      <c r="D249" s="24">
        <v>1437.88</v>
      </c>
      <c r="E249" s="23">
        <v>-2.1000000000000001E-2</v>
      </c>
    </row>
    <row r="250" spans="1:5" x14ac:dyDescent="0.25">
      <c r="A250" s="21">
        <v>45571</v>
      </c>
      <c r="B250">
        <v>13.2</v>
      </c>
      <c r="C250" s="22">
        <v>7.6E-3</v>
      </c>
      <c r="D250" s="24">
        <v>1416.78</v>
      </c>
      <c r="E250" s="23">
        <v>-1.47E-2</v>
      </c>
    </row>
    <row r="251" spans="1:5" x14ac:dyDescent="0.25">
      <c r="A251" s="21">
        <v>45578</v>
      </c>
      <c r="B251">
        <v>13.15</v>
      </c>
      <c r="C251" s="22">
        <v>-3.8E-3</v>
      </c>
      <c r="D251" s="24">
        <v>1443.57</v>
      </c>
      <c r="E251" s="23">
        <v>1.89E-2</v>
      </c>
    </row>
    <row r="252" spans="1:5" x14ac:dyDescent="0.25">
      <c r="A252" s="21">
        <v>45585</v>
      </c>
      <c r="B252">
        <v>13.95</v>
      </c>
      <c r="C252" s="22">
        <v>6.08E-2</v>
      </c>
      <c r="D252" s="24">
        <v>1390.25</v>
      </c>
      <c r="E252" s="23">
        <v>-3.6900000000000002E-2</v>
      </c>
    </row>
    <row r="253" spans="1:5" x14ac:dyDescent="0.25">
      <c r="A253" s="21">
        <v>45592</v>
      </c>
      <c r="B253">
        <v>13.6</v>
      </c>
      <c r="C253" s="22">
        <v>-2.5100000000000001E-2</v>
      </c>
      <c r="D253" s="24">
        <v>1390.49</v>
      </c>
      <c r="E253" s="23">
        <v>2.0000000000000001E-4</v>
      </c>
    </row>
    <row r="254" spans="1:5" x14ac:dyDescent="0.25">
      <c r="A254" s="21">
        <v>45599</v>
      </c>
      <c r="B254">
        <v>14.1</v>
      </c>
      <c r="C254" s="22">
        <v>3.6799999999999999E-2</v>
      </c>
      <c r="D254" s="24">
        <v>1413.13</v>
      </c>
      <c r="E254" s="23">
        <v>1.6299999999999999E-2</v>
      </c>
    </row>
    <row r="255" spans="1:5" x14ac:dyDescent="0.25">
      <c r="A255" s="21">
        <v>45606</v>
      </c>
      <c r="B255">
        <v>14.4</v>
      </c>
      <c r="C255" s="22">
        <v>2.1299999999999999E-2</v>
      </c>
      <c r="D255" s="24">
        <v>1403.87</v>
      </c>
      <c r="E255" s="23">
        <v>-6.6E-3</v>
      </c>
    </row>
    <row r="256" spans="1:5" x14ac:dyDescent="0.25">
      <c r="A256" s="21">
        <v>45613</v>
      </c>
      <c r="B256">
        <v>14.3</v>
      </c>
      <c r="C256" s="22">
        <v>-6.8999999999999999E-3</v>
      </c>
      <c r="D256" s="24">
        <v>1401.58</v>
      </c>
      <c r="E256" s="23">
        <v>-1.6000000000000001E-3</v>
      </c>
    </row>
    <row r="257" spans="1:5" x14ac:dyDescent="0.25">
      <c r="A257" s="21">
        <v>45620</v>
      </c>
      <c r="B257">
        <v>14.3</v>
      </c>
      <c r="C257" s="22">
        <v>0</v>
      </c>
      <c r="D257" s="24">
        <v>1393.49</v>
      </c>
      <c r="E257" s="23">
        <v>-5.7999999999999996E-3</v>
      </c>
    </row>
    <row r="258" spans="1:5" x14ac:dyDescent="0.25">
      <c r="A258" s="21">
        <v>45627</v>
      </c>
      <c r="B258">
        <v>15.25</v>
      </c>
      <c r="C258" s="22">
        <v>6.6400000000000001E-2</v>
      </c>
      <c r="D258" s="24">
        <v>1456.52</v>
      </c>
      <c r="E258" s="23">
        <v>4.5199999999999997E-2</v>
      </c>
    </row>
    <row r="259" spans="1:5" x14ac:dyDescent="0.25">
      <c r="A259" s="21">
        <v>45634</v>
      </c>
      <c r="B259">
        <v>15.2</v>
      </c>
      <c r="C259" s="22">
        <v>-3.3E-3</v>
      </c>
      <c r="D259" s="24">
        <v>1469.32</v>
      </c>
      <c r="E259" s="23">
        <v>8.8000000000000005E-3</v>
      </c>
    </row>
    <row r="260" spans="1:5" x14ac:dyDescent="0.25">
      <c r="A260" s="21">
        <v>45641</v>
      </c>
      <c r="B260">
        <v>15.35</v>
      </c>
      <c r="C260" s="22">
        <v>9.9000000000000008E-3</v>
      </c>
      <c r="D260" s="24">
        <v>1452.5</v>
      </c>
      <c r="E260" s="23">
        <v>-1.14E-2</v>
      </c>
    </row>
    <row r="261" spans="1:5" x14ac:dyDescent="0.25">
      <c r="A261" s="21">
        <v>45648</v>
      </c>
      <c r="B261">
        <v>15</v>
      </c>
      <c r="C261" s="22">
        <v>-2.2800000000000001E-2</v>
      </c>
      <c r="D261" s="24">
        <v>1457.38</v>
      </c>
      <c r="E261" s="23">
        <v>3.3999999999999998E-3</v>
      </c>
    </row>
    <row r="262" spans="1:5" x14ac:dyDescent="0.25">
      <c r="A262" s="21">
        <v>45655</v>
      </c>
      <c r="B262">
        <v>15.55</v>
      </c>
      <c r="C262" s="22">
        <v>3.6700000000000003E-2</v>
      </c>
      <c r="D262" s="24">
        <v>1486.83</v>
      </c>
      <c r="E262" s="23">
        <v>2.0199999999999999E-2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85"/>
  <sheetViews>
    <sheetView zoomScale="85" zoomScaleNormal="85" workbookViewId="0">
      <selection activeCell="B18" sqref="B18"/>
    </sheetView>
  </sheetViews>
  <sheetFormatPr defaultColWidth="9" defaultRowHeight="14.4" x14ac:dyDescent="0.25"/>
  <sheetData>
    <row r="1" spans="1:9" x14ac:dyDescent="0.25">
      <c r="A1" t="s">
        <v>4</v>
      </c>
    </row>
    <row r="3" spans="1:9" ht="15" x14ac:dyDescent="0.3">
      <c r="A3" s="15" t="s">
        <v>5</v>
      </c>
      <c r="B3" s="15"/>
    </row>
    <row r="4" spans="1:9" x14ac:dyDescent="0.25">
      <c r="A4" t="s">
        <v>6</v>
      </c>
      <c r="B4">
        <v>0.49215407491636198</v>
      </c>
    </row>
    <row r="5" spans="1:9" ht="15" x14ac:dyDescent="0.3">
      <c r="A5" t="s">
        <v>7</v>
      </c>
      <c r="B5" s="16">
        <v>0.24221563345677999</v>
      </c>
    </row>
    <row r="6" spans="1:9" x14ac:dyDescent="0.25">
      <c r="A6" t="s">
        <v>8</v>
      </c>
      <c r="B6">
        <v>0.23928982509174801</v>
      </c>
    </row>
    <row r="7" spans="1:9" x14ac:dyDescent="0.25">
      <c r="A7" t="s">
        <v>9</v>
      </c>
      <c r="B7">
        <v>3.2495390441207798E-2</v>
      </c>
    </row>
    <row r="8" spans="1:9" x14ac:dyDescent="0.25">
      <c r="A8" s="17" t="s">
        <v>10</v>
      </c>
      <c r="B8" s="17">
        <v>261</v>
      </c>
    </row>
    <row r="10" spans="1:9" x14ac:dyDescent="0.25">
      <c r="A10" t="s">
        <v>11</v>
      </c>
    </row>
    <row r="11" spans="1:9" ht="15" x14ac:dyDescent="0.3">
      <c r="A11" s="18"/>
      <c r="B11" s="18" t="s">
        <v>12</v>
      </c>
      <c r="C11" s="18" t="s">
        <v>13</v>
      </c>
      <c r="D11" s="18" t="s">
        <v>14</v>
      </c>
      <c r="E11" s="18" t="s">
        <v>15</v>
      </c>
      <c r="F11" s="18" t="s">
        <v>16</v>
      </c>
    </row>
    <row r="12" spans="1:9" x14ac:dyDescent="0.25">
      <c r="A12" t="s">
        <v>17</v>
      </c>
      <c r="B12">
        <v>1</v>
      </c>
      <c r="C12">
        <v>8.7417787874966096E-2</v>
      </c>
      <c r="D12">
        <v>8.7417787874966096E-2</v>
      </c>
      <c r="E12">
        <v>82.785884527386699</v>
      </c>
      <c r="F12">
        <v>2.5053644858127001E-17</v>
      </c>
    </row>
    <row r="13" spans="1:9" x14ac:dyDescent="0.25">
      <c r="A13" t="s">
        <v>18</v>
      </c>
      <c r="B13">
        <v>259</v>
      </c>
      <c r="C13">
        <v>0.27349115358097298</v>
      </c>
      <c r="D13">
        <v>1.05595039992654E-3</v>
      </c>
    </row>
    <row r="14" spans="1:9" x14ac:dyDescent="0.25">
      <c r="A14" s="17" t="s">
        <v>19</v>
      </c>
      <c r="B14" s="17">
        <v>260</v>
      </c>
      <c r="C14" s="17">
        <v>0.36090894145593899</v>
      </c>
      <c r="D14" s="17"/>
      <c r="E14" s="17"/>
      <c r="F14" s="17"/>
    </row>
    <row r="16" spans="1:9" ht="15" x14ac:dyDescent="0.3">
      <c r="A16" s="18"/>
      <c r="B16" s="18" t="s">
        <v>20</v>
      </c>
      <c r="C16" s="18" t="s">
        <v>9</v>
      </c>
      <c r="D16" s="18" t="s">
        <v>21</v>
      </c>
      <c r="E16" s="18" t="s">
        <v>22</v>
      </c>
      <c r="F16" s="18" t="s">
        <v>23</v>
      </c>
      <c r="G16" s="18" t="s">
        <v>24</v>
      </c>
      <c r="H16" s="18" t="s">
        <v>25</v>
      </c>
      <c r="I16" s="18" t="s">
        <v>26</v>
      </c>
    </row>
    <row r="17" spans="1:9" x14ac:dyDescent="0.25">
      <c r="A17" t="s">
        <v>27</v>
      </c>
      <c r="B17">
        <v>3.32979663645455E-3</v>
      </c>
      <c r="C17">
        <v>2.0167520720523698E-3</v>
      </c>
      <c r="D17">
        <v>1.65106890559232</v>
      </c>
      <c r="E17">
        <v>9.9936475142707204E-2</v>
      </c>
      <c r="F17">
        <v>-6.4152207954542E-4</v>
      </c>
      <c r="G17">
        <v>7.3011153524545104E-3</v>
      </c>
      <c r="H17">
        <v>-6.4152207954542E-4</v>
      </c>
      <c r="I17">
        <v>7.3011153524545104E-3</v>
      </c>
    </row>
    <row r="18" spans="1:9" ht="15" x14ac:dyDescent="0.3">
      <c r="A18" s="17" t="s">
        <v>28</v>
      </c>
      <c r="B18" s="19">
        <v>0.55484875380077003</v>
      </c>
      <c r="C18" s="17">
        <v>6.0981270489146602E-2</v>
      </c>
      <c r="D18" s="17">
        <v>9.0986748775514901</v>
      </c>
      <c r="E18" s="17">
        <v>2.5053644858127599E-17</v>
      </c>
      <c r="F18" s="17">
        <v>0.434766536370568</v>
      </c>
      <c r="G18" s="17">
        <v>0.67493097123097301</v>
      </c>
      <c r="H18" s="17">
        <v>0.434766536370568</v>
      </c>
      <c r="I18" s="17">
        <v>0.67493097123097301</v>
      </c>
    </row>
    <row r="22" spans="1:9" x14ac:dyDescent="0.25">
      <c r="A22" t="s">
        <v>29</v>
      </c>
    </row>
    <row r="24" spans="1:9" ht="15" x14ac:dyDescent="0.3">
      <c r="A24" s="18" t="s">
        <v>30</v>
      </c>
      <c r="B24" s="18" t="s">
        <v>31</v>
      </c>
      <c r="C24" s="18" t="s">
        <v>32</v>
      </c>
    </row>
    <row r="25" spans="1:9" x14ac:dyDescent="0.25">
      <c r="A25">
        <v>1</v>
      </c>
      <c r="B25">
        <v>5.4382219008974704E-3</v>
      </c>
      <c r="C25">
        <v>-3.0838221900897501E-2</v>
      </c>
    </row>
    <row r="26" spans="1:9" x14ac:dyDescent="0.25">
      <c r="A26">
        <v>2</v>
      </c>
      <c r="B26">
        <v>9.7105573051633996E-3</v>
      </c>
      <c r="C26">
        <v>1.2589442694836601E-2</v>
      </c>
    </row>
    <row r="27" spans="1:9" x14ac:dyDescent="0.25">
      <c r="A27">
        <v>3</v>
      </c>
      <c r="B27">
        <v>1.18744674449864E-2</v>
      </c>
      <c r="C27">
        <v>1.7225532555013599E-2</v>
      </c>
    </row>
    <row r="28" spans="1:9" x14ac:dyDescent="0.25">
      <c r="A28">
        <v>4</v>
      </c>
      <c r="B28">
        <v>-1.8753183764816099E-2</v>
      </c>
      <c r="C28">
        <v>-2.3646816235183901E-2</v>
      </c>
    </row>
    <row r="29" spans="1:9" x14ac:dyDescent="0.25">
      <c r="A29">
        <v>5</v>
      </c>
      <c r="B29">
        <v>3.32979663645455E-3</v>
      </c>
      <c r="C29">
        <v>4.0702033635454504E-3</v>
      </c>
    </row>
    <row r="30" spans="1:9" x14ac:dyDescent="0.25">
      <c r="A30">
        <v>6</v>
      </c>
      <c r="B30">
        <v>1.0265406058964199E-2</v>
      </c>
      <c r="C30">
        <v>1.1734593941035799E-2</v>
      </c>
    </row>
    <row r="31" spans="1:9" x14ac:dyDescent="0.25">
      <c r="A31">
        <v>7</v>
      </c>
      <c r="B31">
        <v>-1.42589088590299E-2</v>
      </c>
      <c r="C31">
        <v>-1.44410911409701E-2</v>
      </c>
    </row>
    <row r="32" spans="1:9" x14ac:dyDescent="0.25">
      <c r="A32">
        <v>8</v>
      </c>
      <c r="B32">
        <v>-0.103977952348614</v>
      </c>
      <c r="C32">
        <v>-3.99220476513856E-2</v>
      </c>
    </row>
    <row r="33" spans="1:3" x14ac:dyDescent="0.25">
      <c r="A33">
        <v>9</v>
      </c>
      <c r="B33">
        <v>-2.4079731801303499E-2</v>
      </c>
      <c r="C33">
        <v>-1.04202681986965E-2</v>
      </c>
    </row>
    <row r="34" spans="1:3" x14ac:dyDescent="0.25">
      <c r="A34">
        <v>10</v>
      </c>
      <c r="B34">
        <v>-0.10425537672551501</v>
      </c>
      <c r="C34">
        <v>-3.6344623274485198E-2</v>
      </c>
    </row>
    <row r="35" spans="1:3" x14ac:dyDescent="0.25">
      <c r="A35">
        <v>11</v>
      </c>
      <c r="B35">
        <v>6.4924345331189397E-3</v>
      </c>
      <c r="C35">
        <v>0.175307565466881</v>
      </c>
    </row>
    <row r="36" spans="1:3" x14ac:dyDescent="0.25">
      <c r="A36">
        <v>12</v>
      </c>
      <c r="B36">
        <v>-9.4253876781138395E-4</v>
      </c>
      <c r="C36">
        <v>-4.30574612321886E-2</v>
      </c>
    </row>
    <row r="37" spans="1:3" x14ac:dyDescent="0.25">
      <c r="A37">
        <v>13</v>
      </c>
      <c r="B37">
        <v>-6.8794204334796296E-3</v>
      </c>
      <c r="C37">
        <v>-4.6205795665203702E-3</v>
      </c>
    </row>
    <row r="38" spans="1:3" x14ac:dyDescent="0.25">
      <c r="A38">
        <v>14</v>
      </c>
      <c r="B38">
        <v>7.1631678229329407E-2</v>
      </c>
      <c r="C38">
        <v>-1.83167822932936E-3</v>
      </c>
    </row>
    <row r="39" spans="1:3" x14ac:dyDescent="0.25">
      <c r="A39">
        <v>15</v>
      </c>
      <c r="B39">
        <v>2.83043275803385E-3</v>
      </c>
      <c r="C39">
        <v>8.06956724196615E-3</v>
      </c>
    </row>
    <row r="40" spans="1:3" x14ac:dyDescent="0.25">
      <c r="A40">
        <v>16</v>
      </c>
      <c r="B40">
        <v>2.9968873841740799E-3</v>
      </c>
      <c r="C40">
        <v>2.2803112615825901E-2</v>
      </c>
    </row>
    <row r="41" spans="1:3" x14ac:dyDescent="0.25">
      <c r="A41">
        <v>17</v>
      </c>
      <c r="B41">
        <v>2.33043517732823E-2</v>
      </c>
      <c r="C41">
        <v>-4.4043517732822697E-3</v>
      </c>
    </row>
    <row r="42" spans="1:3" x14ac:dyDescent="0.25">
      <c r="A42">
        <v>18</v>
      </c>
      <c r="B42">
        <v>-1.8031880384875101E-2</v>
      </c>
      <c r="C42">
        <v>4.2731880384875097E-2</v>
      </c>
    </row>
    <row r="43" spans="1:3" x14ac:dyDescent="0.25">
      <c r="A43">
        <v>19</v>
      </c>
      <c r="B43">
        <v>-6.6019960565792402E-3</v>
      </c>
      <c r="C43">
        <v>-9.4980039434207596E-3</v>
      </c>
    </row>
    <row r="44" spans="1:3" x14ac:dyDescent="0.25">
      <c r="A44">
        <v>20</v>
      </c>
      <c r="B44">
        <v>1.8255228113695302E-2</v>
      </c>
      <c r="C44">
        <v>1.44447718863047E-2</v>
      </c>
    </row>
    <row r="45" spans="1:3" x14ac:dyDescent="0.25">
      <c r="A45">
        <v>21</v>
      </c>
      <c r="B45">
        <v>4.2835027907069403E-2</v>
      </c>
      <c r="C45">
        <v>1.24649720929306E-2</v>
      </c>
    </row>
    <row r="46" spans="1:3" x14ac:dyDescent="0.25">
      <c r="A46">
        <v>22</v>
      </c>
      <c r="B46">
        <v>2.9574142691231001E-2</v>
      </c>
      <c r="C46">
        <v>9.4025857308769001E-2</v>
      </c>
    </row>
    <row r="47" spans="1:3" x14ac:dyDescent="0.25">
      <c r="A47">
        <v>23</v>
      </c>
      <c r="B47">
        <v>-2.64100965672667E-2</v>
      </c>
      <c r="C47">
        <v>-6.0289903432733299E-2</v>
      </c>
    </row>
    <row r="48" spans="1:3" x14ac:dyDescent="0.25">
      <c r="A48">
        <v>24</v>
      </c>
      <c r="B48">
        <v>2.18062601380202E-2</v>
      </c>
      <c r="C48">
        <v>-3.6406260138020202E-2</v>
      </c>
    </row>
    <row r="49" spans="1:3" x14ac:dyDescent="0.25">
      <c r="A49">
        <v>25</v>
      </c>
      <c r="B49">
        <v>-1.85867291386759E-2</v>
      </c>
      <c r="C49">
        <v>7.7886729138675906E-2</v>
      </c>
    </row>
    <row r="50" spans="1:3" x14ac:dyDescent="0.25">
      <c r="A50">
        <v>26</v>
      </c>
      <c r="B50">
        <v>1.7700379359894498E-2</v>
      </c>
      <c r="C50">
        <v>-2.00379359894497E-4</v>
      </c>
    </row>
    <row r="51" spans="1:3" x14ac:dyDescent="0.25">
      <c r="A51">
        <v>27</v>
      </c>
      <c r="B51">
        <v>-1.8198335011015299E-2</v>
      </c>
      <c r="C51">
        <v>3.18983350110153E-2</v>
      </c>
    </row>
    <row r="52" spans="1:3" x14ac:dyDescent="0.25">
      <c r="A52">
        <v>28</v>
      </c>
      <c r="B52">
        <v>1.0764769937384899E-2</v>
      </c>
      <c r="C52">
        <v>-3.9647699373848702E-3</v>
      </c>
    </row>
    <row r="53" spans="1:3" x14ac:dyDescent="0.25">
      <c r="A53">
        <v>29</v>
      </c>
      <c r="B53">
        <v>-2.8845094061140798E-3</v>
      </c>
      <c r="C53">
        <v>-1.7315490593885902E-2</v>
      </c>
    </row>
    <row r="54" spans="1:3" x14ac:dyDescent="0.25">
      <c r="A54">
        <v>30</v>
      </c>
      <c r="B54">
        <v>-1.12627255885057E-2</v>
      </c>
      <c r="C54">
        <v>-2.4372744114942902E-3</v>
      </c>
    </row>
    <row r="55" spans="1:3" x14ac:dyDescent="0.25">
      <c r="A55">
        <v>31</v>
      </c>
      <c r="B55">
        <v>1.6812621353813301E-2</v>
      </c>
      <c r="C55">
        <v>7.0287378646186699E-2</v>
      </c>
    </row>
    <row r="56" spans="1:3" x14ac:dyDescent="0.25">
      <c r="A56">
        <v>32</v>
      </c>
      <c r="B56">
        <v>4.8833731470967002E-3</v>
      </c>
      <c r="C56">
        <v>-5.9383373147096699E-2</v>
      </c>
    </row>
    <row r="57" spans="1:3" x14ac:dyDescent="0.25">
      <c r="A57">
        <v>33</v>
      </c>
      <c r="B57">
        <v>2.3865537549932398E-3</v>
      </c>
      <c r="C57">
        <v>-2.3865537549932398E-3</v>
      </c>
    </row>
    <row r="58" spans="1:3" x14ac:dyDescent="0.25">
      <c r="A58">
        <v>34</v>
      </c>
      <c r="B58">
        <v>4.3840092686760097E-3</v>
      </c>
      <c r="C58">
        <v>2.4159907313239899E-3</v>
      </c>
    </row>
    <row r="59" spans="1:3" x14ac:dyDescent="0.25">
      <c r="A59">
        <v>35</v>
      </c>
      <c r="B59">
        <v>7.5466471653404003E-3</v>
      </c>
      <c r="C59">
        <v>-8.4664716534039997E-4</v>
      </c>
    </row>
    <row r="60" spans="1:3" x14ac:dyDescent="0.25">
      <c r="A60">
        <v>36</v>
      </c>
      <c r="B60">
        <v>5.0006799207061802E-4</v>
      </c>
      <c r="C60">
        <v>-3.0600067992070601E-2</v>
      </c>
    </row>
    <row r="61" spans="1:3" x14ac:dyDescent="0.25">
      <c r="A61">
        <v>37</v>
      </c>
      <c r="B61">
        <v>2.2971442521001799E-2</v>
      </c>
      <c r="C61">
        <v>2.1828557478998201E-2</v>
      </c>
    </row>
    <row r="62" spans="1:3" x14ac:dyDescent="0.25">
      <c r="A62">
        <v>38</v>
      </c>
      <c r="B62">
        <v>-3.0904371473052999E-2</v>
      </c>
      <c r="C62">
        <v>2.4304371473053001E-2</v>
      </c>
    </row>
    <row r="63" spans="1:3" x14ac:dyDescent="0.25">
      <c r="A63">
        <v>39</v>
      </c>
      <c r="B63">
        <v>1.0320890934344301E-2</v>
      </c>
      <c r="C63">
        <v>1.2979109065655799E-2</v>
      </c>
    </row>
    <row r="64" spans="1:3" x14ac:dyDescent="0.25">
      <c r="A64">
        <v>40</v>
      </c>
      <c r="B64">
        <v>2.61895652930463E-2</v>
      </c>
      <c r="C64">
        <v>3.8710434706953699E-2</v>
      </c>
    </row>
    <row r="65" spans="1:3" x14ac:dyDescent="0.25">
      <c r="A65">
        <v>41</v>
      </c>
      <c r="B65">
        <v>-2.3302943545982401E-2</v>
      </c>
      <c r="C65">
        <v>-1.6297056454017599E-2</v>
      </c>
    </row>
    <row r="66" spans="1:3" x14ac:dyDescent="0.25">
      <c r="A66">
        <v>42</v>
      </c>
      <c r="B66">
        <v>-3.7167825368152399E-3</v>
      </c>
      <c r="C66">
        <v>1.00167825368152E-2</v>
      </c>
    </row>
    <row r="67" spans="1:3" x14ac:dyDescent="0.25">
      <c r="A67">
        <v>43</v>
      </c>
      <c r="B67">
        <v>-3.5454131254219298E-2</v>
      </c>
      <c r="C67">
        <v>1.02541312542193E-2</v>
      </c>
    </row>
    <row r="68" spans="1:3" x14ac:dyDescent="0.25">
      <c r="A68">
        <v>44</v>
      </c>
      <c r="B68">
        <v>2.1473350885739699E-2</v>
      </c>
      <c r="C68">
        <v>-8.5733508857397302E-3</v>
      </c>
    </row>
    <row r="69" spans="1:3" x14ac:dyDescent="0.25">
      <c r="A69">
        <v>45</v>
      </c>
      <c r="B69">
        <v>6.7081918448163094E-2</v>
      </c>
      <c r="C69">
        <v>-6.0681918448163001E-2</v>
      </c>
    </row>
    <row r="70" spans="1:3" x14ac:dyDescent="0.25">
      <c r="A70">
        <v>46</v>
      </c>
      <c r="B70">
        <v>4.0393693390346E-2</v>
      </c>
      <c r="C70">
        <v>-2.1393693390346E-2</v>
      </c>
    </row>
    <row r="71" spans="1:3" x14ac:dyDescent="0.25">
      <c r="A71">
        <v>47</v>
      </c>
      <c r="B71">
        <v>3.2792265463275398E-2</v>
      </c>
      <c r="C71">
        <v>-3.2792265463275398E-2</v>
      </c>
    </row>
    <row r="72" spans="1:3" x14ac:dyDescent="0.25">
      <c r="A72">
        <v>48</v>
      </c>
      <c r="B72">
        <v>3.9727874885785101E-2</v>
      </c>
      <c r="C72">
        <v>-4.28278748857851E-2</v>
      </c>
    </row>
    <row r="73" spans="1:3" x14ac:dyDescent="0.25">
      <c r="A73">
        <v>49</v>
      </c>
      <c r="B73">
        <v>-8.3156901705123E-4</v>
      </c>
      <c r="C73">
        <v>8.3156901705123E-4</v>
      </c>
    </row>
    <row r="74" spans="1:3" x14ac:dyDescent="0.25">
      <c r="A74">
        <v>50</v>
      </c>
      <c r="B74">
        <v>1.8310712989075301E-2</v>
      </c>
      <c r="C74">
        <v>2.22892870109247E-2</v>
      </c>
    </row>
    <row r="75" spans="1:3" x14ac:dyDescent="0.25">
      <c r="A75">
        <v>51</v>
      </c>
      <c r="B75">
        <v>-5.3813287982175497E-3</v>
      </c>
      <c r="C75">
        <v>-2.7618671201782501E-2</v>
      </c>
    </row>
    <row r="76" spans="1:3" x14ac:dyDescent="0.25">
      <c r="A76">
        <v>52</v>
      </c>
      <c r="B76">
        <v>1.84771676152156E-2</v>
      </c>
      <c r="C76">
        <v>-2.9771676152155801E-3</v>
      </c>
    </row>
    <row r="77" spans="1:3" x14ac:dyDescent="0.25">
      <c r="A77">
        <v>53</v>
      </c>
      <c r="B77">
        <v>1.03763758097243E-2</v>
      </c>
      <c r="C77">
        <v>-1.17637580972433E-3</v>
      </c>
    </row>
    <row r="78" spans="1:3" x14ac:dyDescent="0.25">
      <c r="A78">
        <v>54</v>
      </c>
      <c r="B78">
        <v>-1.6422818998852898E-2</v>
      </c>
      <c r="C78">
        <v>1.6422818998852898E-2</v>
      </c>
    </row>
    <row r="79" spans="1:3" x14ac:dyDescent="0.25">
      <c r="A79">
        <v>55</v>
      </c>
      <c r="B79">
        <v>-4.4935707921363102E-3</v>
      </c>
      <c r="C79">
        <v>7.4935707921363103E-3</v>
      </c>
    </row>
    <row r="80" spans="1:3" x14ac:dyDescent="0.25">
      <c r="A80">
        <v>56</v>
      </c>
      <c r="B80">
        <v>-1.76989711325947E-2</v>
      </c>
      <c r="C80">
        <v>2.3698971132594601E-2</v>
      </c>
    </row>
    <row r="81" spans="1:3" x14ac:dyDescent="0.25">
      <c r="A81">
        <v>57</v>
      </c>
      <c r="B81">
        <v>1.45377414632301E-2</v>
      </c>
      <c r="C81">
        <v>2.7462258536769899E-2</v>
      </c>
    </row>
    <row r="82" spans="1:3" x14ac:dyDescent="0.25">
      <c r="A82">
        <v>58</v>
      </c>
      <c r="B82">
        <v>1.16525279434661E-2</v>
      </c>
      <c r="C82">
        <v>1.1447472056533899E-2</v>
      </c>
    </row>
    <row r="83" spans="1:3" x14ac:dyDescent="0.25">
      <c r="A83">
        <v>59</v>
      </c>
      <c r="B83">
        <v>7.1582530376798599E-3</v>
      </c>
      <c r="C83">
        <v>-2.1258253037679899E-2</v>
      </c>
    </row>
    <row r="84" spans="1:3" x14ac:dyDescent="0.25">
      <c r="A84">
        <v>60</v>
      </c>
      <c r="B84">
        <v>1.10976791896653E-2</v>
      </c>
      <c r="C84">
        <v>2.8902320810334701E-2</v>
      </c>
    </row>
    <row r="85" spans="1:3" x14ac:dyDescent="0.25">
      <c r="A85">
        <v>61</v>
      </c>
      <c r="B85">
        <v>2.61895652930463E-2</v>
      </c>
      <c r="C85">
        <v>-2.8889565293046301E-2</v>
      </c>
    </row>
    <row r="86" spans="1:3" x14ac:dyDescent="0.25">
      <c r="A86">
        <v>62</v>
      </c>
      <c r="B86">
        <v>1.99752592504777E-2</v>
      </c>
      <c r="C86">
        <v>-1.99752592504777E-2</v>
      </c>
    </row>
    <row r="87" spans="1:3" x14ac:dyDescent="0.25">
      <c r="A87">
        <v>63</v>
      </c>
      <c r="B87">
        <v>-7.6007238134206297E-3</v>
      </c>
      <c r="C87">
        <v>2.69007238134206E-2</v>
      </c>
    </row>
    <row r="88" spans="1:3" x14ac:dyDescent="0.25">
      <c r="A88">
        <v>64</v>
      </c>
      <c r="B88">
        <v>1.5813893596971901E-2</v>
      </c>
      <c r="C88">
        <v>-7.7138935969718802E-3</v>
      </c>
    </row>
    <row r="89" spans="1:3" x14ac:dyDescent="0.25">
      <c r="A89">
        <v>65</v>
      </c>
      <c r="B89">
        <v>1.8588137365975699E-2</v>
      </c>
      <c r="C89">
        <v>1.3611862634024301E-2</v>
      </c>
    </row>
    <row r="90" spans="1:3" x14ac:dyDescent="0.25">
      <c r="A90">
        <v>66</v>
      </c>
      <c r="B90">
        <v>1.3760953207909E-2</v>
      </c>
      <c r="C90">
        <v>-5.96095320790903E-3</v>
      </c>
    </row>
    <row r="91" spans="1:3" x14ac:dyDescent="0.25">
      <c r="A91">
        <v>67</v>
      </c>
      <c r="B91">
        <v>7.6576169161005504E-3</v>
      </c>
      <c r="C91">
        <v>-2.8257616916100601E-2</v>
      </c>
    </row>
    <row r="92" spans="1:3" x14ac:dyDescent="0.25">
      <c r="A92">
        <v>68</v>
      </c>
      <c r="B92">
        <v>3.9401302656353896E-3</v>
      </c>
      <c r="C92">
        <v>-1.7140130265635399E-2</v>
      </c>
    </row>
    <row r="93" spans="1:3" x14ac:dyDescent="0.25">
      <c r="A93">
        <v>69</v>
      </c>
      <c r="B93">
        <v>9.9879816820637908E-3</v>
      </c>
      <c r="C93">
        <v>1.9312018317936198E-2</v>
      </c>
    </row>
    <row r="94" spans="1:3" x14ac:dyDescent="0.25">
      <c r="A94">
        <v>70</v>
      </c>
      <c r="B94">
        <v>-4.8264800444167803E-3</v>
      </c>
      <c r="C94">
        <v>-1.06735199555832E-2</v>
      </c>
    </row>
    <row r="95" spans="1:3" x14ac:dyDescent="0.25">
      <c r="A95">
        <v>71</v>
      </c>
      <c r="B95">
        <v>9.5441026790231698E-3</v>
      </c>
      <c r="C95">
        <v>-2.7944102679023201E-2</v>
      </c>
    </row>
    <row r="96" spans="1:3" x14ac:dyDescent="0.25">
      <c r="A96">
        <v>72</v>
      </c>
      <c r="B96">
        <v>-2.0861609029259001E-2</v>
      </c>
      <c r="C96">
        <v>1.8161609029259E-2</v>
      </c>
    </row>
    <row r="97" spans="1:3" x14ac:dyDescent="0.25">
      <c r="A97">
        <v>73</v>
      </c>
      <c r="B97">
        <v>1.6146802849252299E-2</v>
      </c>
      <c r="C97">
        <v>1.07531971507477E-2</v>
      </c>
    </row>
    <row r="98" spans="1:3" x14ac:dyDescent="0.25">
      <c r="A98">
        <v>74</v>
      </c>
      <c r="B98">
        <v>1.20964069465067E-2</v>
      </c>
      <c r="C98">
        <v>1.00359305349328E-3</v>
      </c>
    </row>
    <row r="99" spans="1:3" x14ac:dyDescent="0.25">
      <c r="A99">
        <v>75</v>
      </c>
      <c r="B99">
        <v>1.8255228113695302E-2</v>
      </c>
      <c r="C99">
        <v>2.4447718863047298E-3</v>
      </c>
    </row>
    <row r="100" spans="1:3" x14ac:dyDescent="0.25">
      <c r="A100">
        <v>76</v>
      </c>
      <c r="B100">
        <v>-8.8213910717823193E-3</v>
      </c>
      <c r="C100">
        <v>2.6521391071782301E-2</v>
      </c>
    </row>
    <row r="101" spans="1:3" x14ac:dyDescent="0.25">
      <c r="A101">
        <v>77</v>
      </c>
      <c r="B101">
        <v>4.6614336455763896E-3</v>
      </c>
      <c r="C101">
        <v>5.2538566354423603E-2</v>
      </c>
    </row>
    <row r="102" spans="1:3" x14ac:dyDescent="0.25">
      <c r="A102">
        <v>78</v>
      </c>
      <c r="B102">
        <v>-9.5426944517233193E-3</v>
      </c>
      <c r="C102">
        <v>4.48426944517233E-2</v>
      </c>
    </row>
    <row r="103" spans="1:3" x14ac:dyDescent="0.25">
      <c r="A103">
        <v>79</v>
      </c>
      <c r="B103">
        <v>-4.43808591675624E-3</v>
      </c>
      <c r="C103">
        <v>-1.3761914083243801E-2</v>
      </c>
    </row>
    <row r="104" spans="1:3" x14ac:dyDescent="0.25">
      <c r="A104">
        <v>80</v>
      </c>
      <c r="B104">
        <v>-1.3864177708520001E-3</v>
      </c>
      <c r="C104">
        <v>-3.213582229148E-3</v>
      </c>
    </row>
    <row r="105" spans="1:3" x14ac:dyDescent="0.25">
      <c r="A105">
        <v>81</v>
      </c>
      <c r="B105">
        <v>1.83170500119247E-3</v>
      </c>
      <c r="C105">
        <v>5.1682949988075301E-3</v>
      </c>
    </row>
    <row r="106" spans="1:3" x14ac:dyDescent="0.25">
      <c r="A106">
        <v>82</v>
      </c>
      <c r="B106">
        <v>1.8643622241355799E-2</v>
      </c>
      <c r="C106">
        <v>-2.4436222413558098E-3</v>
      </c>
    </row>
    <row r="107" spans="1:3" x14ac:dyDescent="0.25">
      <c r="A107">
        <v>83</v>
      </c>
      <c r="B107">
        <v>6.6034042838790897E-3</v>
      </c>
      <c r="C107">
        <v>-1.34034042838791E-2</v>
      </c>
    </row>
    <row r="108" spans="1:3" x14ac:dyDescent="0.25">
      <c r="A108">
        <v>84</v>
      </c>
      <c r="B108">
        <v>4.4394941440560904E-3</v>
      </c>
      <c r="C108">
        <v>-3.87394941440561E-2</v>
      </c>
    </row>
    <row r="109" spans="1:3" x14ac:dyDescent="0.25">
      <c r="A109">
        <v>85</v>
      </c>
      <c r="B109">
        <v>-4.2161464152359303E-3</v>
      </c>
      <c r="C109">
        <v>1.13161464152359E-2</v>
      </c>
    </row>
    <row r="110" spans="1:3" x14ac:dyDescent="0.25">
      <c r="A110">
        <v>86</v>
      </c>
      <c r="B110">
        <v>2.2971442521001799E-2</v>
      </c>
      <c r="C110">
        <v>-2.2971442521001799E-2</v>
      </c>
    </row>
    <row r="111" spans="1:3" x14ac:dyDescent="0.25">
      <c r="A111">
        <v>87</v>
      </c>
      <c r="B111">
        <v>3.7181907641150899E-3</v>
      </c>
      <c r="C111">
        <v>-1.3181907641150899E-3</v>
      </c>
    </row>
    <row r="112" spans="1:3" x14ac:dyDescent="0.25">
      <c r="A112">
        <v>88</v>
      </c>
      <c r="B112">
        <v>-5.1039044213171602E-3</v>
      </c>
      <c r="C112">
        <v>-3.2496095578682799E-2</v>
      </c>
    </row>
    <row r="113" spans="1:3" x14ac:dyDescent="0.25">
      <c r="A113">
        <v>89</v>
      </c>
      <c r="B113">
        <v>1.0542830435864599E-2</v>
      </c>
      <c r="C113">
        <v>1.14571695641354E-2</v>
      </c>
    </row>
    <row r="114" spans="1:3" x14ac:dyDescent="0.25">
      <c r="A114">
        <v>90</v>
      </c>
      <c r="B114">
        <v>-2.0806124153878999E-2</v>
      </c>
      <c r="C114">
        <v>-6.7493875846121001E-2</v>
      </c>
    </row>
    <row r="115" spans="1:3" x14ac:dyDescent="0.25">
      <c r="A115">
        <v>91</v>
      </c>
      <c r="B115">
        <v>2.0536445027127702E-3</v>
      </c>
      <c r="C115">
        <v>-1.2553644502712799E-2</v>
      </c>
    </row>
    <row r="116" spans="1:3" x14ac:dyDescent="0.25">
      <c r="A116">
        <v>92</v>
      </c>
      <c r="B116">
        <v>1.70345608553336E-2</v>
      </c>
      <c r="C116">
        <v>1.4654391446664299E-3</v>
      </c>
    </row>
    <row r="117" spans="1:3" x14ac:dyDescent="0.25">
      <c r="A117">
        <v>93</v>
      </c>
      <c r="B117">
        <v>4.6614336455763896E-3</v>
      </c>
      <c r="C117">
        <v>2.9138566354423599E-2</v>
      </c>
    </row>
    <row r="118" spans="1:3" x14ac:dyDescent="0.25">
      <c r="A118">
        <v>94</v>
      </c>
      <c r="B118">
        <v>9.7105573051633996E-3</v>
      </c>
      <c r="C118">
        <v>3.2989442694836599E-2</v>
      </c>
    </row>
    <row r="119" spans="1:3" x14ac:dyDescent="0.25">
      <c r="A119">
        <v>95</v>
      </c>
      <c r="B119">
        <v>-9.4253876781138395E-4</v>
      </c>
      <c r="C119">
        <v>-3.7657461232188598E-2</v>
      </c>
    </row>
    <row r="120" spans="1:3" x14ac:dyDescent="0.25">
      <c r="A120">
        <v>96</v>
      </c>
      <c r="B120">
        <v>8.7673144237020995E-3</v>
      </c>
      <c r="C120">
        <v>-1.12673144237021E-2</v>
      </c>
    </row>
    <row r="121" spans="1:3" x14ac:dyDescent="0.25">
      <c r="A121">
        <v>97</v>
      </c>
      <c r="B121">
        <v>7.6576169161005504E-3</v>
      </c>
      <c r="C121">
        <v>3.2542383083899402E-2</v>
      </c>
    </row>
    <row r="122" spans="1:3" x14ac:dyDescent="0.25">
      <c r="A122">
        <v>98</v>
      </c>
      <c r="B122">
        <v>3.9956151410154702E-3</v>
      </c>
      <c r="C122">
        <v>-6.3956151410154696E-3</v>
      </c>
    </row>
    <row r="123" spans="1:3" x14ac:dyDescent="0.25">
      <c r="A123">
        <v>99</v>
      </c>
      <c r="B123">
        <v>-3.0682431971532701E-2</v>
      </c>
      <c r="C123">
        <v>6.4824319715326697E-3</v>
      </c>
    </row>
    <row r="124" spans="1:3" x14ac:dyDescent="0.25">
      <c r="A124">
        <v>100</v>
      </c>
      <c r="B124">
        <v>1.64242272261527E-2</v>
      </c>
      <c r="C124">
        <v>1.33757727738473E-2</v>
      </c>
    </row>
    <row r="125" spans="1:3" x14ac:dyDescent="0.25">
      <c r="A125">
        <v>101</v>
      </c>
      <c r="B125">
        <v>1.55919540954516E-2</v>
      </c>
      <c r="C125">
        <v>-3.96919540954516E-2</v>
      </c>
    </row>
    <row r="126" spans="1:3" x14ac:dyDescent="0.25">
      <c r="A126">
        <v>102</v>
      </c>
      <c r="B126">
        <v>-3.5503279106750001E-3</v>
      </c>
      <c r="C126">
        <v>-1.34967208932499E-3</v>
      </c>
    </row>
    <row r="127" spans="1:3" x14ac:dyDescent="0.25">
      <c r="A127">
        <v>103</v>
      </c>
      <c r="B127">
        <v>5.3272521501373203E-3</v>
      </c>
      <c r="C127">
        <v>4.92727478498627E-2</v>
      </c>
    </row>
    <row r="128" spans="1:3" x14ac:dyDescent="0.25">
      <c r="A128">
        <v>104</v>
      </c>
      <c r="B128">
        <v>4.9388580224767799E-3</v>
      </c>
      <c r="C128">
        <v>-4.9388580224767799E-3</v>
      </c>
    </row>
    <row r="129" spans="1:3" x14ac:dyDescent="0.25">
      <c r="A129">
        <v>105</v>
      </c>
      <c r="B129">
        <v>1.1486073317325899E-2</v>
      </c>
      <c r="C129">
        <v>-2.08860733173259E-2</v>
      </c>
    </row>
    <row r="130" spans="1:3" x14ac:dyDescent="0.25">
      <c r="A130">
        <v>106</v>
      </c>
      <c r="B130">
        <v>2.9574142691231001E-2</v>
      </c>
      <c r="C130">
        <v>-2.4774142691230999E-2</v>
      </c>
    </row>
    <row r="131" spans="1:3" x14ac:dyDescent="0.25">
      <c r="A131">
        <v>107</v>
      </c>
      <c r="B131">
        <v>-7.2059926629107702E-4</v>
      </c>
      <c r="C131">
        <v>-2.7679400733708899E-2</v>
      </c>
    </row>
    <row r="132" spans="1:3" x14ac:dyDescent="0.25">
      <c r="A132">
        <v>108</v>
      </c>
      <c r="B132">
        <v>-7.2678145611401604E-3</v>
      </c>
      <c r="C132">
        <v>1.6967814561140201E-2</v>
      </c>
    </row>
    <row r="133" spans="1:3" x14ac:dyDescent="0.25">
      <c r="A133">
        <v>109</v>
      </c>
      <c r="B133">
        <v>1.5702923846211699E-2</v>
      </c>
      <c r="C133">
        <v>-6.1029238462117202E-3</v>
      </c>
    </row>
    <row r="134" spans="1:3" x14ac:dyDescent="0.25">
      <c r="A134">
        <v>110</v>
      </c>
      <c r="B134">
        <v>1.8643622241355799E-2</v>
      </c>
      <c r="C134">
        <v>-4.01436222413558E-2</v>
      </c>
    </row>
    <row r="135" spans="1:3" x14ac:dyDescent="0.25">
      <c r="A135">
        <v>111</v>
      </c>
      <c r="B135">
        <v>-5.3258439228374699E-3</v>
      </c>
      <c r="C135">
        <v>-2.14741560771625E-2</v>
      </c>
    </row>
    <row r="136" spans="1:3" x14ac:dyDescent="0.25">
      <c r="A136">
        <v>112</v>
      </c>
      <c r="B136">
        <v>-1.33156659775686E-2</v>
      </c>
      <c r="C136">
        <v>-3.4284334022431397E-2</v>
      </c>
    </row>
    <row r="137" spans="1:3" x14ac:dyDescent="0.25">
      <c r="A137">
        <v>113</v>
      </c>
      <c r="B137">
        <v>-5.9811991546073098E-2</v>
      </c>
      <c r="C137">
        <v>4.6611991546073102E-2</v>
      </c>
    </row>
    <row r="138" spans="1:3" x14ac:dyDescent="0.25">
      <c r="A138">
        <v>114</v>
      </c>
      <c r="B138">
        <v>7.5466471653404003E-3</v>
      </c>
      <c r="C138">
        <v>-2.3546647165340402E-2</v>
      </c>
    </row>
    <row r="139" spans="1:3" x14ac:dyDescent="0.25">
      <c r="A139">
        <v>115</v>
      </c>
      <c r="B139">
        <v>2.67444140468471E-2</v>
      </c>
      <c r="C139">
        <v>-1.3144414046847099E-2</v>
      </c>
    </row>
    <row r="140" spans="1:3" x14ac:dyDescent="0.25">
      <c r="A140">
        <v>116</v>
      </c>
      <c r="B140">
        <v>-9.3762398255830895E-3</v>
      </c>
      <c r="C140">
        <v>-3.3423760174416901E-2</v>
      </c>
    </row>
    <row r="141" spans="1:3" x14ac:dyDescent="0.25">
      <c r="A141">
        <v>117</v>
      </c>
      <c r="B141">
        <v>3.4623266350817999E-2</v>
      </c>
      <c r="C141">
        <v>1.2876733649181999E-2</v>
      </c>
    </row>
    <row r="142" spans="1:3" x14ac:dyDescent="0.25">
      <c r="A142">
        <v>118</v>
      </c>
      <c r="B142">
        <v>1.3039649827968E-2</v>
      </c>
      <c r="C142">
        <v>-5.0339649827968E-2</v>
      </c>
    </row>
    <row r="143" spans="1:3" x14ac:dyDescent="0.25">
      <c r="A143">
        <v>119</v>
      </c>
      <c r="B143">
        <v>1.10976791896653E-2</v>
      </c>
      <c r="C143">
        <v>3.3202320810334703E-2</v>
      </c>
    </row>
    <row r="144" spans="1:3" x14ac:dyDescent="0.25">
      <c r="A144">
        <v>120</v>
      </c>
      <c r="B144">
        <v>2.18617450134003E-2</v>
      </c>
      <c r="C144">
        <v>-5.63617450134003E-2</v>
      </c>
    </row>
    <row r="145" spans="1:3" x14ac:dyDescent="0.25">
      <c r="A145">
        <v>121</v>
      </c>
      <c r="B145">
        <v>-1.25943625976276E-2</v>
      </c>
      <c r="C145">
        <v>-2.5905637402372401E-2</v>
      </c>
    </row>
    <row r="146" spans="1:3" x14ac:dyDescent="0.25">
      <c r="A146">
        <v>122</v>
      </c>
      <c r="B146">
        <v>-3.0183068093112001E-2</v>
      </c>
      <c r="C146">
        <v>-4.1216931906888001E-2</v>
      </c>
    </row>
    <row r="147" spans="1:3" x14ac:dyDescent="0.25">
      <c r="A147">
        <v>123</v>
      </c>
      <c r="B147">
        <v>3.4962512625947798E-3</v>
      </c>
      <c r="C147">
        <v>-9.6962512625947805E-3</v>
      </c>
    </row>
    <row r="148" spans="1:3" x14ac:dyDescent="0.25">
      <c r="A148">
        <v>124</v>
      </c>
      <c r="B148">
        <v>-1.10899339395162E-3</v>
      </c>
      <c r="C148">
        <v>-8.1910066060483806E-3</v>
      </c>
    </row>
    <row r="149" spans="1:3" x14ac:dyDescent="0.25">
      <c r="A149">
        <v>125</v>
      </c>
      <c r="B149">
        <v>2.3581776150182698E-2</v>
      </c>
      <c r="C149">
        <v>-1.7381776150182701E-2</v>
      </c>
    </row>
    <row r="150" spans="1:3" x14ac:dyDescent="0.25">
      <c r="A150">
        <v>126</v>
      </c>
      <c r="B150">
        <v>6.7143740346392398E-3</v>
      </c>
      <c r="C150">
        <v>-7.5014374034639203E-2</v>
      </c>
    </row>
    <row r="151" spans="1:3" x14ac:dyDescent="0.25">
      <c r="A151">
        <v>127</v>
      </c>
      <c r="B151">
        <v>-1.7920910634114998E-2</v>
      </c>
      <c r="C151">
        <v>1.1220910634115001E-2</v>
      </c>
    </row>
    <row r="152" spans="1:3" x14ac:dyDescent="0.25">
      <c r="A152">
        <v>128</v>
      </c>
      <c r="B152">
        <v>-2.05841846523587E-2</v>
      </c>
      <c r="C152">
        <v>-1.9715815347641399E-2</v>
      </c>
    </row>
    <row r="153" spans="1:3" x14ac:dyDescent="0.25">
      <c r="A153">
        <v>129</v>
      </c>
      <c r="B153">
        <v>9.6550724297833294E-3</v>
      </c>
      <c r="C153">
        <v>-2.0155072429783299E-2</v>
      </c>
    </row>
    <row r="154" spans="1:3" x14ac:dyDescent="0.25">
      <c r="A154">
        <v>130</v>
      </c>
      <c r="B154">
        <v>-1.5978939995812302E-2</v>
      </c>
      <c r="C154">
        <v>-1.2321060004187701E-2</v>
      </c>
    </row>
    <row r="155" spans="1:3" x14ac:dyDescent="0.25">
      <c r="A155">
        <v>131</v>
      </c>
      <c r="B155">
        <v>8.3297724435108097E-4</v>
      </c>
      <c r="C155">
        <v>1.73670227556489E-2</v>
      </c>
    </row>
    <row r="156" spans="1:3" x14ac:dyDescent="0.25">
      <c r="A156">
        <v>132</v>
      </c>
      <c r="B156">
        <v>-1.8857816492726901E-3</v>
      </c>
      <c r="C156">
        <v>4.4785781649272702E-2</v>
      </c>
    </row>
    <row r="157" spans="1:3" x14ac:dyDescent="0.25">
      <c r="A157">
        <v>133</v>
      </c>
      <c r="B157">
        <v>2.8020566180588801E-2</v>
      </c>
      <c r="C157">
        <v>-1.7720566180588801E-2</v>
      </c>
    </row>
    <row r="158" spans="1:3" x14ac:dyDescent="0.25">
      <c r="A158">
        <v>134</v>
      </c>
      <c r="B158">
        <v>1.74229549829941E-2</v>
      </c>
      <c r="C158">
        <v>-5.13229549829941E-2</v>
      </c>
    </row>
    <row r="159" spans="1:3" x14ac:dyDescent="0.25">
      <c r="A159">
        <v>135</v>
      </c>
      <c r="B159">
        <v>2.1646142534729302E-3</v>
      </c>
      <c r="C159">
        <v>4.69353857465271E-2</v>
      </c>
    </row>
    <row r="160" spans="1:3" x14ac:dyDescent="0.25">
      <c r="A160">
        <v>136</v>
      </c>
      <c r="B160">
        <v>2.2638533268721402E-2</v>
      </c>
      <c r="C160">
        <v>-2.5938533268721399E-2</v>
      </c>
    </row>
    <row r="161" spans="1:3" x14ac:dyDescent="0.25">
      <c r="A161">
        <v>137</v>
      </c>
      <c r="B161">
        <v>1.6202287724632398E-2</v>
      </c>
      <c r="C161">
        <v>5.9771227536758304E-4</v>
      </c>
    </row>
    <row r="162" spans="1:3" x14ac:dyDescent="0.25">
      <c r="A162">
        <v>138</v>
      </c>
      <c r="B162">
        <v>7.0411364992478297E-7</v>
      </c>
      <c r="C162">
        <v>-2.3100704113649902E-2</v>
      </c>
    </row>
    <row r="163" spans="1:3" x14ac:dyDescent="0.25">
      <c r="A163">
        <v>139</v>
      </c>
      <c r="B163">
        <v>-2.7075915071827699E-2</v>
      </c>
      <c r="C163">
        <v>-1.01240849281723E-2</v>
      </c>
    </row>
    <row r="164" spans="1:3" x14ac:dyDescent="0.25">
      <c r="A164">
        <v>140</v>
      </c>
      <c r="B164">
        <v>1.4433108735319299E-3</v>
      </c>
      <c r="C164">
        <v>-6.8143310873531898E-2</v>
      </c>
    </row>
    <row r="165" spans="1:3" x14ac:dyDescent="0.25">
      <c r="A165">
        <v>141</v>
      </c>
      <c r="B165">
        <v>-4.4317488939069099E-4</v>
      </c>
      <c r="C165">
        <v>7.9431748893906903E-3</v>
      </c>
    </row>
    <row r="166" spans="1:3" x14ac:dyDescent="0.25">
      <c r="A166">
        <v>142</v>
      </c>
      <c r="B166">
        <v>-2.1915821661480501E-2</v>
      </c>
      <c r="C166">
        <v>-3.0284178338519499E-2</v>
      </c>
    </row>
    <row r="167" spans="1:3" x14ac:dyDescent="0.25">
      <c r="A167">
        <v>143</v>
      </c>
      <c r="B167">
        <v>-2.7672026325046E-4</v>
      </c>
      <c r="C167">
        <v>-3.6232797367495399E-3</v>
      </c>
    </row>
    <row r="168" spans="1:3" x14ac:dyDescent="0.25">
      <c r="A168">
        <v>144</v>
      </c>
      <c r="B168">
        <v>1.8144258362935099E-2</v>
      </c>
      <c r="C168">
        <v>6.8855741637064899E-2</v>
      </c>
    </row>
    <row r="169" spans="1:3" x14ac:dyDescent="0.25">
      <c r="A169">
        <v>145</v>
      </c>
      <c r="B169">
        <v>1.5758408721591802E-2</v>
      </c>
      <c r="C169">
        <v>-3.0258408721591801E-2</v>
      </c>
    </row>
    <row r="170" spans="1:3" x14ac:dyDescent="0.25">
      <c r="A170">
        <v>146</v>
      </c>
      <c r="B170">
        <v>1.84216827398355E-2</v>
      </c>
      <c r="C170">
        <v>-2.9521682739835499E-2</v>
      </c>
    </row>
    <row r="171" spans="1:3" x14ac:dyDescent="0.25">
      <c r="A171">
        <v>147</v>
      </c>
      <c r="B171">
        <v>7.0472832869197099E-3</v>
      </c>
      <c r="C171">
        <v>4.15271671308029E-3</v>
      </c>
    </row>
    <row r="172" spans="1:3" x14ac:dyDescent="0.25">
      <c r="A172">
        <v>148</v>
      </c>
      <c r="B172">
        <v>1.5148075092410999E-2</v>
      </c>
      <c r="C172">
        <v>-1.8848075092411001E-2</v>
      </c>
    </row>
    <row r="173" spans="1:3" x14ac:dyDescent="0.25">
      <c r="A173">
        <v>149</v>
      </c>
      <c r="B173">
        <v>1.50925902170309E-2</v>
      </c>
      <c r="C173">
        <v>5.1607409782969099E-2</v>
      </c>
    </row>
    <row r="174" spans="1:3" x14ac:dyDescent="0.25">
      <c r="A174">
        <v>150</v>
      </c>
      <c r="B174">
        <v>-1.55287239699223E-3</v>
      </c>
      <c r="C174">
        <v>-8.8471276030077702E-3</v>
      </c>
    </row>
    <row r="175" spans="1:3" x14ac:dyDescent="0.25">
      <c r="A175">
        <v>151</v>
      </c>
      <c r="B175">
        <v>2.0641077755038598E-2</v>
      </c>
      <c r="C175">
        <v>6.0058922244961399E-2</v>
      </c>
    </row>
    <row r="176" spans="1:3" x14ac:dyDescent="0.25">
      <c r="A176">
        <v>152</v>
      </c>
      <c r="B176">
        <v>-4.9374497951769304E-3</v>
      </c>
      <c r="C176">
        <v>-4.0562550204823099E-2</v>
      </c>
    </row>
    <row r="177" spans="1:3" x14ac:dyDescent="0.25">
      <c r="A177">
        <v>153</v>
      </c>
      <c r="B177">
        <v>1.07092850620048E-2</v>
      </c>
      <c r="C177">
        <v>9.6907149379952106E-3</v>
      </c>
    </row>
    <row r="178" spans="1:3" x14ac:dyDescent="0.25">
      <c r="A178">
        <v>154</v>
      </c>
      <c r="B178">
        <v>8.3297724435108097E-4</v>
      </c>
      <c r="C178">
        <v>5.9167022755648897E-2</v>
      </c>
    </row>
    <row r="179" spans="1:3" x14ac:dyDescent="0.25">
      <c r="A179">
        <v>155</v>
      </c>
      <c r="B179">
        <v>9.0447388006024802E-3</v>
      </c>
      <c r="C179">
        <v>-1.5344738800602499E-2</v>
      </c>
    </row>
    <row r="180" spans="1:3" x14ac:dyDescent="0.25">
      <c r="A180">
        <v>156</v>
      </c>
      <c r="B180">
        <v>8.48989004680171E-3</v>
      </c>
      <c r="C180">
        <v>-2.7489890046801701E-2</v>
      </c>
    </row>
    <row r="181" spans="1:3" x14ac:dyDescent="0.25">
      <c r="A181">
        <v>157</v>
      </c>
      <c r="B181">
        <v>1.6257772600012502E-2</v>
      </c>
      <c r="C181">
        <v>2.8942227399987499E-2</v>
      </c>
    </row>
    <row r="182" spans="1:3" x14ac:dyDescent="0.25">
      <c r="A182">
        <v>158</v>
      </c>
      <c r="B182">
        <v>1.3206104454108299E-2</v>
      </c>
      <c r="C182">
        <v>-1.0106104454108301E-2</v>
      </c>
    </row>
    <row r="183" spans="1:3" x14ac:dyDescent="0.25">
      <c r="A183">
        <v>159</v>
      </c>
      <c r="B183">
        <v>9.4331329282630206E-3</v>
      </c>
      <c r="C183">
        <v>-1.8633132928263001E-2</v>
      </c>
    </row>
    <row r="184" spans="1:3" x14ac:dyDescent="0.25">
      <c r="A184">
        <v>160</v>
      </c>
      <c r="B184">
        <v>2.3970170277843199E-2</v>
      </c>
      <c r="C184">
        <v>-7.36701702778432E-2</v>
      </c>
    </row>
    <row r="185" spans="1:3" x14ac:dyDescent="0.25">
      <c r="A185">
        <v>161</v>
      </c>
      <c r="B185">
        <v>1.31506195787282E-2</v>
      </c>
      <c r="C185">
        <v>-5.061957872818E-5</v>
      </c>
    </row>
    <row r="186" spans="1:3" x14ac:dyDescent="0.25">
      <c r="A186">
        <v>162</v>
      </c>
      <c r="B186">
        <v>2.1972714764160399E-2</v>
      </c>
      <c r="C186">
        <v>-3.8072714764160402E-2</v>
      </c>
    </row>
    <row r="187" spans="1:3" x14ac:dyDescent="0.25">
      <c r="A187">
        <v>163</v>
      </c>
      <c r="B187">
        <v>2.13068962595995E-2</v>
      </c>
      <c r="C187">
        <v>-1.6068962595994999E-3</v>
      </c>
    </row>
    <row r="188" spans="1:3" x14ac:dyDescent="0.25">
      <c r="A188">
        <v>164</v>
      </c>
      <c r="B188">
        <v>8.6563446729419399E-3</v>
      </c>
      <c r="C188">
        <v>1.0643655327058099E-2</v>
      </c>
    </row>
    <row r="189" spans="1:3" x14ac:dyDescent="0.25">
      <c r="A189">
        <v>165</v>
      </c>
      <c r="B189">
        <v>3.9956151410154702E-3</v>
      </c>
      <c r="C189">
        <v>2.3043848589845298E-3</v>
      </c>
    </row>
    <row r="190" spans="1:3" x14ac:dyDescent="0.25">
      <c r="A190">
        <v>166</v>
      </c>
      <c r="B190">
        <v>-2.5744278062705801E-2</v>
      </c>
      <c r="C190">
        <v>5.7044278062705803E-2</v>
      </c>
    </row>
    <row r="191" spans="1:3" x14ac:dyDescent="0.25">
      <c r="A191">
        <v>167</v>
      </c>
      <c r="B191">
        <v>-1.5590545868151701E-2</v>
      </c>
      <c r="C191">
        <v>-5.7309454131848299E-2</v>
      </c>
    </row>
    <row r="192" spans="1:3" x14ac:dyDescent="0.25">
      <c r="A192">
        <v>168</v>
      </c>
      <c r="B192">
        <v>3.8846453902553202E-3</v>
      </c>
      <c r="C192">
        <v>4.5315354609744701E-2</v>
      </c>
    </row>
    <row r="193" spans="1:3" x14ac:dyDescent="0.25">
      <c r="A193">
        <v>169</v>
      </c>
      <c r="B193">
        <v>2.1473350885739699E-2</v>
      </c>
      <c r="C193">
        <v>-3.0873350885739701E-2</v>
      </c>
    </row>
    <row r="194" spans="1:3" x14ac:dyDescent="0.25">
      <c r="A194">
        <v>170</v>
      </c>
      <c r="B194">
        <v>1.35390137063887E-2</v>
      </c>
      <c r="C194">
        <v>-1.6739013706388702E-2</v>
      </c>
    </row>
    <row r="195" spans="1:3" x14ac:dyDescent="0.25">
      <c r="A195">
        <v>171</v>
      </c>
      <c r="B195">
        <v>1.8199743238315198E-2</v>
      </c>
      <c r="C195">
        <v>1.0300256761684799E-2</v>
      </c>
    </row>
    <row r="196" spans="1:3" x14ac:dyDescent="0.25">
      <c r="A196">
        <v>172</v>
      </c>
      <c r="B196">
        <v>7.6021320407204801E-3</v>
      </c>
      <c r="C196">
        <v>-1.38021320407205E-2</v>
      </c>
    </row>
    <row r="197" spans="1:3" x14ac:dyDescent="0.25">
      <c r="A197">
        <v>173</v>
      </c>
      <c r="B197">
        <v>-9.7646339532436299E-3</v>
      </c>
      <c r="C197">
        <v>3.1464633953243601E-2</v>
      </c>
    </row>
    <row r="198" spans="1:3" x14ac:dyDescent="0.25">
      <c r="A198">
        <v>174</v>
      </c>
      <c r="B198">
        <v>1.6701651603053098E-2</v>
      </c>
      <c r="C198">
        <v>3.1798348396946903E-2</v>
      </c>
    </row>
    <row r="199" spans="1:3" x14ac:dyDescent="0.25">
      <c r="A199">
        <v>175</v>
      </c>
      <c r="B199">
        <v>9.1002236759825592E-3</v>
      </c>
      <c r="C199">
        <v>1.6899776324017401E-2</v>
      </c>
    </row>
    <row r="200" spans="1:3" x14ac:dyDescent="0.25">
      <c r="A200">
        <v>176</v>
      </c>
      <c r="B200">
        <v>8.0460110437610907E-3</v>
      </c>
      <c r="C200">
        <v>3.2539889562389099E-3</v>
      </c>
    </row>
    <row r="201" spans="1:3" x14ac:dyDescent="0.25">
      <c r="A201">
        <v>177</v>
      </c>
      <c r="B201">
        <v>4.6718969183674797E-2</v>
      </c>
      <c r="C201">
        <v>8.97810308163252E-2</v>
      </c>
    </row>
    <row r="202" spans="1:3" x14ac:dyDescent="0.25">
      <c r="A202">
        <v>178</v>
      </c>
      <c r="B202">
        <v>1.9426747519526201E-3</v>
      </c>
      <c r="C202">
        <v>-2.1542674751952599E-2</v>
      </c>
    </row>
    <row r="203" spans="1:3" x14ac:dyDescent="0.25">
      <c r="A203">
        <v>179</v>
      </c>
      <c r="B203">
        <v>2.33043517732823E-2</v>
      </c>
      <c r="C203">
        <v>-1.5804351773282301E-2</v>
      </c>
    </row>
    <row r="204" spans="1:3" x14ac:dyDescent="0.25">
      <c r="A204">
        <v>180</v>
      </c>
      <c r="B204">
        <v>1.0320890934344301E-2</v>
      </c>
      <c r="C204">
        <v>-2.27208909343442E-2</v>
      </c>
    </row>
    <row r="205" spans="1:3" x14ac:dyDescent="0.25">
      <c r="A205">
        <v>181</v>
      </c>
      <c r="B205">
        <v>-4.9865976477076802E-4</v>
      </c>
      <c r="C205">
        <v>-2.0013402352292301E-3</v>
      </c>
    </row>
    <row r="206" spans="1:3" x14ac:dyDescent="0.25">
      <c r="A206">
        <v>182</v>
      </c>
      <c r="B206">
        <v>7.6576169161005504E-3</v>
      </c>
      <c r="C206">
        <v>-5.1576169161005603E-3</v>
      </c>
    </row>
    <row r="207" spans="1:3" x14ac:dyDescent="0.25">
      <c r="A207">
        <v>183</v>
      </c>
      <c r="B207">
        <v>3.2188268856943899E-3</v>
      </c>
      <c r="C207">
        <v>-7.1882688569439195E-4</v>
      </c>
    </row>
    <row r="208" spans="1:3" x14ac:dyDescent="0.25">
      <c r="A208">
        <v>184</v>
      </c>
      <c r="B208">
        <v>2.3859200527082999E-2</v>
      </c>
      <c r="C208">
        <v>6.2407994729169504E-3</v>
      </c>
    </row>
    <row r="209" spans="1:3" x14ac:dyDescent="0.25">
      <c r="A209">
        <v>185</v>
      </c>
      <c r="B209">
        <v>8.9892539252223996E-3</v>
      </c>
      <c r="C209">
        <v>8.0107460747775999E-3</v>
      </c>
    </row>
    <row r="210" spans="1:3" x14ac:dyDescent="0.25">
      <c r="A210">
        <v>186</v>
      </c>
      <c r="B210">
        <v>1.11040162125147E-3</v>
      </c>
      <c r="C210">
        <v>2.7589598378748501E-2</v>
      </c>
    </row>
    <row r="211" spans="1:3" x14ac:dyDescent="0.25">
      <c r="A211">
        <v>187</v>
      </c>
      <c r="B211">
        <v>-2.6625699045937702E-3</v>
      </c>
      <c r="C211">
        <v>2.6625699045937702E-3</v>
      </c>
    </row>
    <row r="212" spans="1:3" x14ac:dyDescent="0.25">
      <c r="A212">
        <v>188</v>
      </c>
      <c r="B212">
        <v>-1.04304524578046E-2</v>
      </c>
      <c r="C212">
        <v>-1.9769547542195402E-2</v>
      </c>
    </row>
    <row r="213" spans="1:3" x14ac:dyDescent="0.25">
      <c r="A213">
        <v>189</v>
      </c>
      <c r="B213">
        <v>-6.8239355580995498E-3</v>
      </c>
      <c r="C213">
        <v>-9.97606444190045E-3</v>
      </c>
    </row>
    <row r="214" spans="1:3" x14ac:dyDescent="0.25">
      <c r="A214">
        <v>190</v>
      </c>
      <c r="B214">
        <v>1.9309440745916701E-2</v>
      </c>
      <c r="C214">
        <v>5.0905592540832698E-3</v>
      </c>
    </row>
    <row r="215" spans="1:3" x14ac:dyDescent="0.25">
      <c r="A215">
        <v>191</v>
      </c>
      <c r="B215">
        <v>3.2188268856943899E-3</v>
      </c>
      <c r="C215">
        <v>-1.99188268856944E-2</v>
      </c>
    </row>
    <row r="216" spans="1:3" x14ac:dyDescent="0.25">
      <c r="A216">
        <v>192</v>
      </c>
      <c r="B216">
        <v>-1.37595449806092E-2</v>
      </c>
      <c r="C216">
        <v>-3.2240455019390803E-2</v>
      </c>
    </row>
    <row r="217" spans="1:3" x14ac:dyDescent="0.25">
      <c r="A217">
        <v>193</v>
      </c>
      <c r="B217">
        <v>2.94140250879401E-3</v>
      </c>
      <c r="C217">
        <v>-1.3141402508794E-2</v>
      </c>
    </row>
    <row r="218" spans="1:3" x14ac:dyDescent="0.25">
      <c r="A218">
        <v>194</v>
      </c>
      <c r="B218">
        <v>-1.46473029866904E-2</v>
      </c>
      <c r="C218">
        <v>1.7247302986690399E-2</v>
      </c>
    </row>
    <row r="219" spans="1:3" x14ac:dyDescent="0.25">
      <c r="A219">
        <v>195</v>
      </c>
      <c r="B219">
        <v>-4.9865976477076802E-4</v>
      </c>
      <c r="C219">
        <v>6.4398659764770799E-2</v>
      </c>
    </row>
    <row r="220" spans="1:3" x14ac:dyDescent="0.25">
      <c r="A220">
        <v>196</v>
      </c>
      <c r="B220">
        <v>-2.99056437162116E-2</v>
      </c>
      <c r="C220">
        <v>1.55056437162116E-2</v>
      </c>
    </row>
    <row r="221" spans="1:3" x14ac:dyDescent="0.25">
      <c r="A221">
        <v>197</v>
      </c>
      <c r="B221">
        <v>1.9309440745916701E-2</v>
      </c>
      <c r="C221">
        <v>-5.3409440745916699E-2</v>
      </c>
    </row>
    <row r="222" spans="1:3" x14ac:dyDescent="0.25">
      <c r="A222">
        <v>198</v>
      </c>
      <c r="B222">
        <v>5.8266160285580099E-3</v>
      </c>
      <c r="C222">
        <v>1.6873383971441999E-2</v>
      </c>
    </row>
    <row r="223" spans="1:3" x14ac:dyDescent="0.25">
      <c r="A223">
        <v>199</v>
      </c>
      <c r="B223">
        <v>5.1607975239970896E-3</v>
      </c>
      <c r="C223">
        <v>-7.6607975239970901E-3</v>
      </c>
    </row>
    <row r="224" spans="1:3" x14ac:dyDescent="0.25">
      <c r="A224">
        <v>200</v>
      </c>
      <c r="B224">
        <v>2.2638533268721402E-2</v>
      </c>
      <c r="C224">
        <v>-1.7638533268721401E-2</v>
      </c>
    </row>
    <row r="225" spans="1:3" x14ac:dyDescent="0.25">
      <c r="A225">
        <v>201</v>
      </c>
      <c r="B225">
        <v>-4.2716312906160101E-3</v>
      </c>
      <c r="C225">
        <v>5.8471631290616E-2</v>
      </c>
    </row>
    <row r="226" spans="1:3" x14ac:dyDescent="0.25">
      <c r="A226">
        <v>202</v>
      </c>
      <c r="B226">
        <v>2.5190837536204901E-2</v>
      </c>
      <c r="C226">
        <v>-3.21908375362049E-2</v>
      </c>
    </row>
    <row r="227" spans="1:3" x14ac:dyDescent="0.25">
      <c r="A227">
        <v>203</v>
      </c>
      <c r="B227">
        <v>6.9917984115396301E-3</v>
      </c>
      <c r="C227">
        <v>4.95082015884604E-2</v>
      </c>
    </row>
    <row r="228" spans="1:3" x14ac:dyDescent="0.25">
      <c r="A228">
        <v>204</v>
      </c>
      <c r="B228">
        <v>1.27622254510676E-2</v>
      </c>
      <c r="C228">
        <v>3.84377745489324E-2</v>
      </c>
    </row>
    <row r="229" spans="1:3" x14ac:dyDescent="0.25">
      <c r="A229">
        <v>205</v>
      </c>
      <c r="B229">
        <v>1.16588649663154E-3</v>
      </c>
      <c r="C229">
        <v>-3.2658864966315401E-3</v>
      </c>
    </row>
    <row r="230" spans="1:3" x14ac:dyDescent="0.25">
      <c r="A230">
        <v>206</v>
      </c>
      <c r="B230">
        <v>1.0154436308204E-2</v>
      </c>
      <c r="C230">
        <v>-1.65443630820402E-3</v>
      </c>
    </row>
    <row r="231" spans="1:3" x14ac:dyDescent="0.25">
      <c r="A231">
        <v>207</v>
      </c>
      <c r="B231">
        <v>3.3852815118346198E-3</v>
      </c>
      <c r="C231">
        <v>8.1471848816537604E-4</v>
      </c>
    </row>
    <row r="232" spans="1:3" x14ac:dyDescent="0.25">
      <c r="A232">
        <v>208</v>
      </c>
      <c r="B232">
        <v>4.2730395179158597E-3</v>
      </c>
      <c r="C232">
        <v>-7.3039517915856499E-5</v>
      </c>
    </row>
    <row r="233" spans="1:3" x14ac:dyDescent="0.25">
      <c r="A233">
        <v>209</v>
      </c>
      <c r="B233">
        <v>1.1264133815805599E-2</v>
      </c>
      <c r="C233">
        <v>1.17358661841944E-2</v>
      </c>
    </row>
    <row r="234" spans="1:3" x14ac:dyDescent="0.25">
      <c r="A234">
        <v>210</v>
      </c>
      <c r="B234">
        <v>2.0641077755038598E-2</v>
      </c>
      <c r="C234">
        <v>-1.2441077755038599E-2</v>
      </c>
    </row>
    <row r="235" spans="1:3" x14ac:dyDescent="0.25">
      <c r="A235">
        <v>211</v>
      </c>
      <c r="B235">
        <v>-1.83029677389262E-3</v>
      </c>
      <c r="C235">
        <v>5.8302967738926197E-3</v>
      </c>
    </row>
    <row r="236" spans="1:3" x14ac:dyDescent="0.25">
      <c r="A236">
        <v>212</v>
      </c>
      <c r="B236">
        <v>1.1985437195746599E-2</v>
      </c>
      <c r="C236">
        <v>-1.5985437195746601E-2</v>
      </c>
    </row>
    <row r="237" spans="1:3" x14ac:dyDescent="0.25">
      <c r="A237">
        <v>213</v>
      </c>
      <c r="B237">
        <v>1.31506195787282E-2</v>
      </c>
      <c r="C237">
        <v>-1.11506195787282E-2</v>
      </c>
    </row>
    <row r="238" spans="1:3" x14ac:dyDescent="0.25">
      <c r="A238">
        <v>214</v>
      </c>
      <c r="B238">
        <v>9.7660421805434803E-3</v>
      </c>
      <c r="C238">
        <v>-9.7660421805434803E-3</v>
      </c>
    </row>
    <row r="239" spans="1:3" x14ac:dyDescent="0.25">
      <c r="A239">
        <v>215</v>
      </c>
      <c r="B239">
        <v>5.04982777323693E-3</v>
      </c>
      <c r="C239">
        <v>-5.04982777323693E-3</v>
      </c>
    </row>
    <row r="240" spans="1:3" x14ac:dyDescent="0.25">
      <c r="A240">
        <v>216</v>
      </c>
      <c r="B240">
        <v>6.4924345331189397E-3</v>
      </c>
      <c r="C240">
        <v>5.92075654668811E-2</v>
      </c>
    </row>
    <row r="241" spans="1:3" x14ac:dyDescent="0.25">
      <c r="A241">
        <v>217</v>
      </c>
      <c r="B241">
        <v>7.0472832869197099E-3</v>
      </c>
      <c r="C241">
        <v>2.13527167130803E-2</v>
      </c>
    </row>
    <row r="242" spans="1:3" x14ac:dyDescent="0.25">
      <c r="A242">
        <v>218</v>
      </c>
      <c r="B242">
        <v>4.9943428978568597E-3</v>
      </c>
      <c r="C242">
        <v>4.2056571021431401E-3</v>
      </c>
    </row>
    <row r="243" spans="1:3" x14ac:dyDescent="0.25">
      <c r="A243">
        <v>219</v>
      </c>
      <c r="B243">
        <v>1.3878259981518501E-3</v>
      </c>
      <c r="C243">
        <v>9.4512174001848206E-2</v>
      </c>
    </row>
    <row r="244" spans="1:3" x14ac:dyDescent="0.25">
      <c r="A244">
        <v>220</v>
      </c>
      <c r="B244">
        <v>4.5504638948162396E-3</v>
      </c>
      <c r="C244">
        <v>-2.1250463894816201E-2</v>
      </c>
    </row>
    <row r="245" spans="1:3" x14ac:dyDescent="0.25">
      <c r="A245">
        <v>221</v>
      </c>
      <c r="B245">
        <v>2.22009912885301E-3</v>
      </c>
      <c r="C245">
        <v>-1.0720099128853E-2</v>
      </c>
    </row>
    <row r="246" spans="1:3" x14ac:dyDescent="0.25">
      <c r="A246">
        <v>222</v>
      </c>
      <c r="B246">
        <v>-1.18175743423065E-2</v>
      </c>
      <c r="C246">
        <v>-5.6582425657693503E-2</v>
      </c>
    </row>
    <row r="247" spans="1:3" x14ac:dyDescent="0.25">
      <c r="A247">
        <v>223</v>
      </c>
      <c r="B247">
        <v>1.02099211835841E-2</v>
      </c>
      <c r="C247">
        <v>2.64900788164159E-2</v>
      </c>
    </row>
    <row r="248" spans="1:3" x14ac:dyDescent="0.25">
      <c r="A248">
        <v>224</v>
      </c>
      <c r="B248">
        <v>1.6715873979015599E-4</v>
      </c>
      <c r="C248">
        <v>-8.9671587397901608E-3</v>
      </c>
    </row>
    <row r="249" spans="1:3" x14ac:dyDescent="0.25">
      <c r="A249">
        <v>225</v>
      </c>
      <c r="B249">
        <v>2.81870208067291E-2</v>
      </c>
      <c r="C249">
        <v>-5.0487020806729101E-2</v>
      </c>
    </row>
    <row r="250" spans="1:3" x14ac:dyDescent="0.25">
      <c r="A250">
        <v>226</v>
      </c>
      <c r="B250">
        <v>2.2755840042330798E-3</v>
      </c>
      <c r="C250">
        <v>-3.4275584004233098E-2</v>
      </c>
    </row>
    <row r="251" spans="1:3" x14ac:dyDescent="0.25">
      <c r="A251">
        <v>227</v>
      </c>
      <c r="B251">
        <v>1.54809843446914E-2</v>
      </c>
      <c r="C251">
        <v>-1.0780984344691401E-2</v>
      </c>
    </row>
    <row r="252" spans="1:3" x14ac:dyDescent="0.25">
      <c r="A252">
        <v>228</v>
      </c>
      <c r="B252">
        <v>5.7156462777978598E-3</v>
      </c>
      <c r="C252">
        <v>2.7184353722202102E-2</v>
      </c>
    </row>
    <row r="253" spans="1:3" x14ac:dyDescent="0.25">
      <c r="A253">
        <v>229</v>
      </c>
      <c r="B253">
        <v>-1.4419026462320799E-3</v>
      </c>
      <c r="C253">
        <v>2.8741902646232099E-2</v>
      </c>
    </row>
    <row r="254" spans="1:3" x14ac:dyDescent="0.25">
      <c r="A254">
        <v>230</v>
      </c>
      <c r="B254">
        <v>-1.3870514731369301E-2</v>
      </c>
      <c r="C254">
        <v>5.7051473136933298E-4</v>
      </c>
    </row>
    <row r="255" spans="1:3" x14ac:dyDescent="0.25">
      <c r="A255">
        <v>231</v>
      </c>
      <c r="B255">
        <v>1.35944985817688E-2</v>
      </c>
      <c r="C255">
        <v>-2.7094498581768801E-2</v>
      </c>
    </row>
    <row r="256" spans="1:3" x14ac:dyDescent="0.25">
      <c r="A256">
        <v>232</v>
      </c>
      <c r="B256">
        <v>-1.6256364372712599E-2</v>
      </c>
      <c r="C256">
        <v>-2.92436356272874E-2</v>
      </c>
    </row>
    <row r="257" spans="1:3" x14ac:dyDescent="0.25">
      <c r="A257">
        <v>233</v>
      </c>
      <c r="B257">
        <v>1.00989514328239E-2</v>
      </c>
      <c r="C257">
        <v>4.2010485671760602E-3</v>
      </c>
    </row>
    <row r="258" spans="1:3" x14ac:dyDescent="0.25">
      <c r="A258">
        <v>234</v>
      </c>
      <c r="B258">
        <v>-4.3826010413761602E-3</v>
      </c>
      <c r="C258">
        <v>7.0082601041376105E-2</v>
      </c>
    </row>
    <row r="259" spans="1:3" x14ac:dyDescent="0.25">
      <c r="A259">
        <v>235</v>
      </c>
      <c r="B259">
        <v>1.7644894484514399E-2</v>
      </c>
      <c r="C259">
        <v>4.3551055154855802E-3</v>
      </c>
    </row>
    <row r="260" spans="1:3" x14ac:dyDescent="0.25">
      <c r="A260">
        <v>236</v>
      </c>
      <c r="B260">
        <v>7.8795564176208591E-3</v>
      </c>
      <c r="C260">
        <v>-1.6479556417620899E-2</v>
      </c>
    </row>
    <row r="261" spans="1:3" x14ac:dyDescent="0.25">
      <c r="A261">
        <v>237</v>
      </c>
      <c r="B261">
        <v>7.9350412930009398E-3</v>
      </c>
      <c r="C261">
        <v>-1.6635041293000901E-2</v>
      </c>
    </row>
    <row r="262" spans="1:3" x14ac:dyDescent="0.25">
      <c r="A262">
        <v>238</v>
      </c>
      <c r="B262">
        <v>5.1607975239970896E-3</v>
      </c>
      <c r="C262">
        <v>8.0392024760029095E-3</v>
      </c>
    </row>
    <row r="263" spans="1:3" x14ac:dyDescent="0.25">
      <c r="A263">
        <v>239</v>
      </c>
      <c r="B263">
        <v>-1.11517558377456E-2</v>
      </c>
      <c r="C263">
        <v>-3.2148244162254397E-2</v>
      </c>
    </row>
    <row r="264" spans="1:3" x14ac:dyDescent="0.25">
      <c r="A264">
        <v>240</v>
      </c>
      <c r="B264">
        <v>-1.51466668651111E-2</v>
      </c>
      <c r="C264">
        <v>4.6846666865111103E-2</v>
      </c>
    </row>
    <row r="265" spans="1:3" x14ac:dyDescent="0.25">
      <c r="A265">
        <v>241</v>
      </c>
      <c r="B265">
        <v>2.28049878948616E-2</v>
      </c>
      <c r="C265">
        <v>2.9795012105138401E-2</v>
      </c>
    </row>
    <row r="266" spans="1:3" x14ac:dyDescent="0.25">
      <c r="A266">
        <v>242</v>
      </c>
      <c r="B266">
        <v>3.6072210133549299E-3</v>
      </c>
      <c r="C266">
        <v>2.13927789866451E-2</v>
      </c>
    </row>
    <row r="267" spans="1:3" x14ac:dyDescent="0.25">
      <c r="A267">
        <v>243</v>
      </c>
      <c r="B267">
        <v>2.7749478826537802E-3</v>
      </c>
      <c r="C267">
        <v>-1.08749478826538E-2</v>
      </c>
    </row>
    <row r="268" spans="1:3" x14ac:dyDescent="0.25">
      <c r="A268">
        <v>244</v>
      </c>
      <c r="B268">
        <v>7.9350412930009398E-3</v>
      </c>
      <c r="C268">
        <v>4.3649587069990604E-3</v>
      </c>
    </row>
    <row r="269" spans="1:3" x14ac:dyDescent="0.25">
      <c r="A269">
        <v>245</v>
      </c>
      <c r="B269">
        <v>-5.8806926766382401E-3</v>
      </c>
      <c r="C269">
        <v>9.8806926766382402E-3</v>
      </c>
    </row>
    <row r="270" spans="1:3" x14ac:dyDescent="0.25">
      <c r="A270">
        <v>246</v>
      </c>
      <c r="B270">
        <v>5.66016140241778E-3</v>
      </c>
      <c r="C270">
        <v>5.0839838597582197E-2</v>
      </c>
    </row>
    <row r="271" spans="1:3" x14ac:dyDescent="0.25">
      <c r="A271">
        <v>247</v>
      </c>
      <c r="B271">
        <v>2.0252683627378001E-2</v>
      </c>
      <c r="C271">
        <v>6.44731637262196E-3</v>
      </c>
    </row>
    <row r="272" spans="1:3" x14ac:dyDescent="0.25">
      <c r="A272">
        <v>248</v>
      </c>
      <c r="B272">
        <v>-8.3220271933616297E-3</v>
      </c>
      <c r="C272">
        <v>-1.7677972806638399E-2</v>
      </c>
    </row>
    <row r="273" spans="1:3" x14ac:dyDescent="0.25">
      <c r="A273">
        <v>249</v>
      </c>
      <c r="B273">
        <v>-4.8264800444167803E-3</v>
      </c>
      <c r="C273">
        <v>1.24264800444168E-2</v>
      </c>
    </row>
    <row r="274" spans="1:3" x14ac:dyDescent="0.25">
      <c r="A274">
        <v>250</v>
      </c>
      <c r="B274">
        <v>1.38164380832891E-2</v>
      </c>
      <c r="C274">
        <v>-1.7616438083289099E-2</v>
      </c>
    </row>
    <row r="275" spans="1:3" x14ac:dyDescent="0.25">
      <c r="A275">
        <v>251</v>
      </c>
      <c r="B275">
        <v>-1.71441223787939E-2</v>
      </c>
      <c r="C275">
        <v>7.7944122378793904E-2</v>
      </c>
    </row>
    <row r="276" spans="1:3" x14ac:dyDescent="0.25">
      <c r="A276">
        <v>252</v>
      </c>
      <c r="B276">
        <v>3.4407663872147E-3</v>
      </c>
      <c r="C276">
        <v>-2.85407663872147E-2</v>
      </c>
    </row>
    <row r="277" spans="1:3" x14ac:dyDescent="0.25">
      <c r="A277">
        <v>253</v>
      </c>
      <c r="B277">
        <v>1.23738313234071E-2</v>
      </c>
      <c r="C277">
        <v>2.4426168676592901E-2</v>
      </c>
    </row>
    <row r="278" spans="1:3" x14ac:dyDescent="0.25">
      <c r="A278">
        <v>254</v>
      </c>
      <c r="B278">
        <v>-3.3220513863053698E-4</v>
      </c>
      <c r="C278">
        <v>2.1632205138630501E-2</v>
      </c>
    </row>
    <row r="279" spans="1:3" x14ac:dyDescent="0.25">
      <c r="A279">
        <v>255</v>
      </c>
      <c r="B279">
        <v>2.4420386303733101E-3</v>
      </c>
      <c r="C279">
        <v>-9.3420386303733095E-3</v>
      </c>
    </row>
    <row r="280" spans="1:3" x14ac:dyDescent="0.25">
      <c r="A280">
        <v>256</v>
      </c>
      <c r="B280">
        <v>1.11673864410079E-4</v>
      </c>
      <c r="C280">
        <v>-1.11673864410079E-4</v>
      </c>
    </row>
    <row r="281" spans="1:3" x14ac:dyDescent="0.25">
      <c r="A281">
        <v>257</v>
      </c>
      <c r="B281">
        <v>2.8408960308249399E-2</v>
      </c>
      <c r="C281">
        <v>3.7991039691750599E-2</v>
      </c>
    </row>
    <row r="282" spans="1:3" x14ac:dyDescent="0.25">
      <c r="A282">
        <v>258</v>
      </c>
      <c r="B282">
        <v>8.2124656699013206E-3</v>
      </c>
      <c r="C282">
        <v>-1.1512465669901301E-2</v>
      </c>
    </row>
    <row r="283" spans="1:3" x14ac:dyDescent="0.25">
      <c r="A283">
        <v>259</v>
      </c>
      <c r="B283">
        <v>-2.9954791568742299E-3</v>
      </c>
      <c r="C283">
        <v>1.2895479156874201E-2</v>
      </c>
    </row>
    <row r="284" spans="1:3" x14ac:dyDescent="0.25">
      <c r="A284">
        <v>260</v>
      </c>
      <c r="B284">
        <v>5.2162823993771703E-3</v>
      </c>
      <c r="C284">
        <v>-2.8016282399377201E-2</v>
      </c>
    </row>
    <row r="285" spans="1:3" x14ac:dyDescent="0.25">
      <c r="A285" s="17">
        <v>261</v>
      </c>
      <c r="B285" s="17">
        <v>1.45377414632301E-2</v>
      </c>
      <c r="C285" s="17">
        <v>2.21622585367699E-2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7"/>
  <sheetViews>
    <sheetView zoomScale="85" zoomScaleNormal="85" workbookViewId="0">
      <selection activeCell="X10" sqref="X10"/>
    </sheetView>
  </sheetViews>
  <sheetFormatPr defaultColWidth="9" defaultRowHeight="14.4" x14ac:dyDescent="0.25"/>
  <sheetData>
    <row r="1" spans="1:9" x14ac:dyDescent="0.25">
      <c r="A1" t="s">
        <v>4</v>
      </c>
    </row>
    <row r="3" spans="1:9" ht="15" x14ac:dyDescent="0.3">
      <c r="A3" s="15" t="s">
        <v>5</v>
      </c>
      <c r="B3" s="15"/>
    </row>
    <row r="4" spans="1:9" x14ac:dyDescent="0.25">
      <c r="A4" t="s">
        <v>6</v>
      </c>
      <c r="B4">
        <v>0.65415477746790196</v>
      </c>
    </row>
    <row r="5" spans="1:9" ht="15" x14ac:dyDescent="0.3">
      <c r="A5" t="s">
        <v>7</v>
      </c>
      <c r="B5" s="16">
        <v>0.42791847288408003</v>
      </c>
    </row>
    <row r="6" spans="1:9" x14ac:dyDescent="0.25">
      <c r="A6" t="s">
        <v>8</v>
      </c>
      <c r="B6">
        <v>0.41670118803867001</v>
      </c>
    </row>
    <row r="7" spans="1:9" x14ac:dyDescent="0.25">
      <c r="A7" t="s">
        <v>9</v>
      </c>
      <c r="B7">
        <v>4.0143341109973897E-2</v>
      </c>
    </row>
    <row r="8" spans="1:9" x14ac:dyDescent="0.25">
      <c r="A8" s="17" t="s">
        <v>10</v>
      </c>
      <c r="B8" s="17">
        <v>53</v>
      </c>
    </row>
    <row r="10" spans="1:9" x14ac:dyDescent="0.25">
      <c r="A10" t="s">
        <v>11</v>
      </c>
    </row>
    <row r="11" spans="1:9" ht="15" x14ac:dyDescent="0.3">
      <c r="A11" s="18"/>
      <c r="B11" s="18" t="s">
        <v>12</v>
      </c>
      <c r="C11" s="18" t="s">
        <v>13</v>
      </c>
      <c r="D11" s="18" t="s">
        <v>14</v>
      </c>
      <c r="E11" s="18" t="s">
        <v>15</v>
      </c>
      <c r="F11" s="18" t="s">
        <v>16</v>
      </c>
    </row>
    <row r="12" spans="1:9" x14ac:dyDescent="0.25">
      <c r="A12" t="s">
        <v>17</v>
      </c>
      <c r="B12">
        <v>1</v>
      </c>
      <c r="C12">
        <v>6.1475252089055299E-2</v>
      </c>
      <c r="D12">
        <v>6.1475252089055299E-2</v>
      </c>
      <c r="E12">
        <v>38.1481328843292</v>
      </c>
      <c r="F12">
        <v>1.08433379128194E-7</v>
      </c>
    </row>
    <row r="13" spans="1:9" x14ac:dyDescent="0.25">
      <c r="A13" t="s">
        <v>18</v>
      </c>
      <c r="B13">
        <v>51</v>
      </c>
      <c r="C13">
        <v>8.2185879609057905E-2</v>
      </c>
      <c r="D13">
        <v>1.61148783547172E-3</v>
      </c>
    </row>
    <row r="14" spans="1:9" x14ac:dyDescent="0.25">
      <c r="A14" s="17" t="s">
        <v>19</v>
      </c>
      <c r="B14" s="17">
        <v>52</v>
      </c>
      <c r="C14" s="17">
        <v>0.14366113169811301</v>
      </c>
      <c r="D14" s="17"/>
      <c r="E14" s="17"/>
      <c r="F14" s="17"/>
    </row>
    <row r="16" spans="1:9" ht="15" x14ac:dyDescent="0.3">
      <c r="A16" s="18"/>
      <c r="B16" s="18" t="s">
        <v>20</v>
      </c>
      <c r="C16" s="18" t="s">
        <v>9</v>
      </c>
      <c r="D16" s="18" t="s">
        <v>21</v>
      </c>
      <c r="E16" s="18" t="s">
        <v>22</v>
      </c>
      <c r="F16" s="18" t="s">
        <v>23</v>
      </c>
      <c r="G16" s="18" t="s">
        <v>24</v>
      </c>
      <c r="H16" s="18" t="s">
        <v>25</v>
      </c>
      <c r="I16" s="18" t="s">
        <v>26</v>
      </c>
    </row>
    <row r="17" spans="1:9" x14ac:dyDescent="0.25">
      <c r="A17" t="s">
        <v>27</v>
      </c>
      <c r="B17">
        <v>5.1059338608735799E-3</v>
      </c>
      <c r="C17">
        <v>5.5144475526400097E-3</v>
      </c>
      <c r="D17">
        <v>0.92591938034284904</v>
      </c>
      <c r="E17">
        <v>0.35884879381691298</v>
      </c>
      <c r="F17">
        <v>-5.9647815480643801E-3</v>
      </c>
      <c r="G17">
        <v>1.6176649269811601E-2</v>
      </c>
      <c r="H17">
        <v>-5.9647815480643801E-3</v>
      </c>
      <c r="I17">
        <v>1.6176649269811601E-2</v>
      </c>
    </row>
    <row r="18" spans="1:9" ht="15" x14ac:dyDescent="0.3">
      <c r="A18" s="17" t="s">
        <v>28</v>
      </c>
      <c r="B18" s="19">
        <v>0.62232795707187905</v>
      </c>
      <c r="C18" s="17">
        <v>0.10075872609176301</v>
      </c>
      <c r="D18" s="17">
        <v>6.1764174797635896</v>
      </c>
      <c r="E18" s="17">
        <v>1.08433379128194E-7</v>
      </c>
      <c r="F18" s="17">
        <v>0.42004637385235599</v>
      </c>
      <c r="G18" s="17">
        <v>0.82460954029140299</v>
      </c>
      <c r="H18" s="17">
        <v>0.42004637385235599</v>
      </c>
      <c r="I18" s="17">
        <v>0.82460954029140299</v>
      </c>
    </row>
    <row r="22" spans="1:9" x14ac:dyDescent="0.25">
      <c r="A22" t="s">
        <v>29</v>
      </c>
    </row>
    <row r="24" spans="1:9" ht="15" x14ac:dyDescent="0.3">
      <c r="A24" s="18" t="s">
        <v>30</v>
      </c>
      <c r="B24" s="18" t="s">
        <v>31</v>
      </c>
      <c r="C24" s="18" t="s">
        <v>32</v>
      </c>
    </row>
    <row r="25" spans="1:9" x14ac:dyDescent="0.25">
      <c r="A25">
        <v>1</v>
      </c>
      <c r="B25">
        <v>7.4707800977467298E-3</v>
      </c>
      <c r="C25">
        <v>-3.2870780097746702E-2</v>
      </c>
    </row>
    <row r="26" spans="1:9" x14ac:dyDescent="0.25">
      <c r="A26">
        <v>2</v>
      </c>
      <c r="B26">
        <v>1.22627053672002E-2</v>
      </c>
      <c r="C26">
        <v>1.0037294632799801E-2</v>
      </c>
    </row>
    <row r="27" spans="1:9" x14ac:dyDescent="0.25">
      <c r="A27">
        <v>3</v>
      </c>
      <c r="B27">
        <v>1.46897843997805E-2</v>
      </c>
      <c r="C27">
        <v>1.44102156002195E-2</v>
      </c>
    </row>
    <row r="28" spans="1:9" x14ac:dyDescent="0.25">
      <c r="A28">
        <v>4</v>
      </c>
      <c r="B28">
        <v>-1.9662718830587199E-2</v>
      </c>
      <c r="C28">
        <v>-2.2737281169412801E-2</v>
      </c>
    </row>
    <row r="29" spans="1:9" x14ac:dyDescent="0.25">
      <c r="A29">
        <v>5</v>
      </c>
      <c r="B29">
        <v>5.1059338608735799E-3</v>
      </c>
      <c r="C29">
        <v>2.29406613912642E-3</v>
      </c>
    </row>
    <row r="30" spans="1:9" x14ac:dyDescent="0.25">
      <c r="A30">
        <v>6</v>
      </c>
      <c r="B30">
        <v>1.2885033324272099E-2</v>
      </c>
      <c r="C30">
        <v>9.1149666757279202E-3</v>
      </c>
    </row>
    <row r="31" spans="1:9" x14ac:dyDescent="0.25">
      <c r="A31">
        <v>7</v>
      </c>
      <c r="B31">
        <v>-1.4621862378305E-2</v>
      </c>
      <c r="C31">
        <v>-1.4078137621695E-2</v>
      </c>
    </row>
    <row r="32" spans="1:9" x14ac:dyDescent="0.25">
      <c r="A32">
        <v>8</v>
      </c>
      <c r="B32">
        <v>-0.115252293036828</v>
      </c>
      <c r="C32">
        <v>-2.86477069631721E-2</v>
      </c>
    </row>
    <row r="33" spans="1:3" x14ac:dyDescent="0.25">
      <c r="A33">
        <v>9</v>
      </c>
      <c r="B33">
        <v>-2.5637067218477302E-2</v>
      </c>
      <c r="C33">
        <v>-8.8629327815227393E-3</v>
      </c>
    </row>
    <row r="34" spans="1:3" x14ac:dyDescent="0.25">
      <c r="A34">
        <v>10</v>
      </c>
      <c r="B34">
        <v>-0.115563457015364</v>
      </c>
      <c r="C34">
        <v>-2.5036542984636201E-2</v>
      </c>
    </row>
    <row r="35" spans="1:3" x14ac:dyDescent="0.25">
      <c r="A35">
        <v>11</v>
      </c>
      <c r="B35">
        <v>8.6532032161833004E-3</v>
      </c>
      <c r="C35">
        <v>0.173146796783817</v>
      </c>
    </row>
    <row r="36" spans="1:3" x14ac:dyDescent="0.25">
      <c r="A36">
        <v>12</v>
      </c>
      <c r="B36">
        <v>3.14008591420112E-4</v>
      </c>
      <c r="C36">
        <v>-4.4314008591420102E-2</v>
      </c>
    </row>
    <row r="37" spans="1:3" x14ac:dyDescent="0.25">
      <c r="A37">
        <v>13</v>
      </c>
      <c r="B37">
        <v>-6.3449005492490001E-3</v>
      </c>
      <c r="C37">
        <v>-5.1550994507509997E-3</v>
      </c>
    </row>
    <row r="38" spans="1:3" x14ac:dyDescent="0.25">
      <c r="A38">
        <v>14</v>
      </c>
      <c r="B38">
        <v>8.1714505376421998E-2</v>
      </c>
      <c r="C38">
        <v>-1.1914505376422E-2</v>
      </c>
    </row>
    <row r="39" spans="1:3" x14ac:dyDescent="0.25">
      <c r="A39">
        <v>15</v>
      </c>
      <c r="B39">
        <v>4.54583869950889E-3</v>
      </c>
      <c r="C39">
        <v>6.35416130049111E-3</v>
      </c>
    </row>
    <row r="40" spans="1:3" x14ac:dyDescent="0.25">
      <c r="A40">
        <v>16</v>
      </c>
      <c r="B40">
        <v>4.73253708663046E-3</v>
      </c>
      <c r="C40">
        <v>2.10674629133695E-2</v>
      </c>
    </row>
    <row r="41" spans="1:3" x14ac:dyDescent="0.25">
      <c r="A41">
        <v>17</v>
      </c>
      <c r="B41">
        <v>2.75097403154612E-2</v>
      </c>
      <c r="C41">
        <v>-8.6097403154612503E-3</v>
      </c>
    </row>
    <row r="42" spans="1:3" x14ac:dyDescent="0.25">
      <c r="A42">
        <v>18</v>
      </c>
      <c r="B42">
        <v>-1.8853692486393799E-2</v>
      </c>
      <c r="C42">
        <v>4.3553692486393798E-2</v>
      </c>
    </row>
    <row r="43" spans="1:3" x14ac:dyDescent="0.25">
      <c r="A43">
        <v>19</v>
      </c>
      <c r="B43">
        <v>-6.0337365707130598E-3</v>
      </c>
      <c r="C43">
        <v>-1.00662634292869E-2</v>
      </c>
    </row>
    <row r="44" spans="1:3" x14ac:dyDescent="0.25">
      <c r="A44">
        <v>20</v>
      </c>
      <c r="B44">
        <v>2.1846555906107099E-2</v>
      </c>
      <c r="C44">
        <v>1.0853444093892901E-2</v>
      </c>
    </row>
    <row r="45" spans="1:3" x14ac:dyDescent="0.25">
      <c r="A45">
        <v>21</v>
      </c>
      <c r="B45">
        <v>4.9415684404391397E-2</v>
      </c>
      <c r="C45">
        <v>5.8843155956086104E-3</v>
      </c>
    </row>
    <row r="46" spans="1:3" x14ac:dyDescent="0.25">
      <c r="A46">
        <v>22</v>
      </c>
      <c r="B46">
        <v>3.4542046230373498E-2</v>
      </c>
      <c r="C46">
        <v>8.9057953769626497E-2</v>
      </c>
    </row>
    <row r="47" spans="1:3" x14ac:dyDescent="0.25">
      <c r="A47">
        <v>23</v>
      </c>
      <c r="B47">
        <v>-2.8250844638179201E-2</v>
      </c>
      <c r="C47">
        <v>-5.8449155361820798E-2</v>
      </c>
    </row>
    <row r="48" spans="1:3" x14ac:dyDescent="0.25">
      <c r="A48">
        <v>24</v>
      </c>
      <c r="B48">
        <v>2.5829454831367199E-2</v>
      </c>
      <c r="C48">
        <v>-4.0429454831367201E-2</v>
      </c>
    </row>
    <row r="49" spans="1:3" x14ac:dyDescent="0.25">
      <c r="A49">
        <v>25</v>
      </c>
      <c r="B49">
        <v>-1.9476020443465698E-2</v>
      </c>
      <c r="C49">
        <v>7.8776020443465697E-2</v>
      </c>
    </row>
    <row r="50" spans="1:3" x14ac:dyDescent="0.25">
      <c r="A50">
        <v>26</v>
      </c>
      <c r="B50">
        <v>2.12242279490353E-2</v>
      </c>
      <c r="C50">
        <v>-3.7242279490352602E-3</v>
      </c>
    </row>
    <row r="51" spans="1:3" x14ac:dyDescent="0.25">
      <c r="A51">
        <v>27</v>
      </c>
      <c r="B51">
        <v>-1.9040390873515299E-2</v>
      </c>
      <c r="C51">
        <v>3.2740390873515303E-2</v>
      </c>
    </row>
    <row r="52" spans="1:3" x14ac:dyDescent="0.25">
      <c r="A52">
        <v>28</v>
      </c>
      <c r="B52">
        <v>1.3445128485636801E-2</v>
      </c>
      <c r="C52">
        <v>-6.6451284856367697E-3</v>
      </c>
    </row>
    <row r="53" spans="1:3" x14ac:dyDescent="0.25">
      <c r="A53">
        <v>29</v>
      </c>
      <c r="B53">
        <v>-1.86413925833147E-3</v>
      </c>
      <c r="C53">
        <v>-1.83358607416685E-2</v>
      </c>
    </row>
    <row r="54" spans="1:3" x14ac:dyDescent="0.25">
      <c r="A54">
        <v>30</v>
      </c>
      <c r="B54">
        <v>-1.12612914101168E-2</v>
      </c>
      <c r="C54">
        <v>-2.4387085898831501E-3</v>
      </c>
    </row>
    <row r="55" spans="1:3" x14ac:dyDescent="0.25">
      <c r="A55">
        <v>31</v>
      </c>
      <c r="B55">
        <v>2.0228503217720298E-2</v>
      </c>
      <c r="C55">
        <v>6.6871496782279702E-2</v>
      </c>
    </row>
    <row r="56" spans="1:3" x14ac:dyDescent="0.25">
      <c r="A56">
        <v>32</v>
      </c>
      <c r="B56">
        <v>6.8484521406748499E-3</v>
      </c>
      <c r="C56">
        <v>-6.1348452140674803E-2</v>
      </c>
    </row>
    <row r="57" spans="1:3" x14ac:dyDescent="0.25">
      <c r="A57">
        <v>33</v>
      </c>
      <c r="B57">
        <v>4.0479763338513901E-3</v>
      </c>
      <c r="C57">
        <v>-4.0479763338513901E-3</v>
      </c>
    </row>
    <row r="58" spans="1:3" x14ac:dyDescent="0.25">
      <c r="A58">
        <v>34</v>
      </c>
      <c r="B58">
        <v>6.28835697931016E-3</v>
      </c>
      <c r="C58">
        <v>5.1164302068984404E-4</v>
      </c>
    </row>
    <row r="59" spans="1:3" x14ac:dyDescent="0.25">
      <c r="A59">
        <v>35</v>
      </c>
      <c r="B59">
        <v>9.8356263346198701E-3</v>
      </c>
      <c r="C59">
        <v>-3.1356263346198699E-3</v>
      </c>
    </row>
    <row r="60" spans="1:3" x14ac:dyDescent="0.25">
      <c r="A60">
        <v>36</v>
      </c>
      <c r="B60">
        <v>1.9320612798069999E-3</v>
      </c>
      <c r="C60">
        <v>-3.2032061279806998E-2</v>
      </c>
    </row>
    <row r="61" spans="1:3" x14ac:dyDescent="0.25">
      <c r="A61">
        <v>37</v>
      </c>
      <c r="B61">
        <v>2.7136343541218098E-2</v>
      </c>
      <c r="C61">
        <v>1.7663656458781901E-2</v>
      </c>
    </row>
    <row r="62" spans="1:3" x14ac:dyDescent="0.25">
      <c r="A62">
        <v>38</v>
      </c>
      <c r="B62">
        <v>-3.3291701090461402E-2</v>
      </c>
      <c r="C62">
        <v>2.66917010904614E-2</v>
      </c>
    </row>
    <row r="63" spans="1:3" x14ac:dyDescent="0.25">
      <c r="A63">
        <v>39</v>
      </c>
      <c r="B63">
        <v>1.29472661199793E-2</v>
      </c>
      <c r="C63">
        <v>1.03527338800207E-2</v>
      </c>
    </row>
    <row r="64" spans="1:3" x14ac:dyDescent="0.25">
      <c r="A64">
        <v>40</v>
      </c>
      <c r="B64">
        <v>3.0745845692234999E-2</v>
      </c>
      <c r="C64">
        <v>3.4154154307765E-2</v>
      </c>
    </row>
    <row r="65" spans="1:3" x14ac:dyDescent="0.25">
      <c r="A65">
        <v>41</v>
      </c>
      <c r="B65">
        <v>-2.47658080785766E-2</v>
      </c>
      <c r="C65">
        <v>-1.4834191921423399E-2</v>
      </c>
    </row>
    <row r="66" spans="1:3" x14ac:dyDescent="0.25">
      <c r="A66">
        <v>42</v>
      </c>
      <c r="B66">
        <v>-2.7976311939392801E-3</v>
      </c>
      <c r="C66">
        <v>9.0976311939392797E-3</v>
      </c>
    </row>
    <row r="67" spans="1:3" x14ac:dyDescent="0.25">
      <c r="A67">
        <v>43</v>
      </c>
      <c r="B67">
        <v>-3.83947903384508E-2</v>
      </c>
      <c r="C67">
        <v>1.31947903384508E-2</v>
      </c>
    </row>
    <row r="68" spans="1:3" x14ac:dyDescent="0.25">
      <c r="A68">
        <v>44</v>
      </c>
      <c r="B68">
        <v>2.5456058057124E-2</v>
      </c>
      <c r="C68">
        <v>-1.2556058057124E-2</v>
      </c>
    </row>
    <row r="69" spans="1:3" x14ac:dyDescent="0.25">
      <c r="A69">
        <v>45</v>
      </c>
      <c r="B69">
        <v>7.6611416128432502E-2</v>
      </c>
      <c r="C69">
        <v>-7.0211416128432499E-2</v>
      </c>
    </row>
    <row r="70" spans="1:3" x14ac:dyDescent="0.25">
      <c r="A70">
        <v>46</v>
      </c>
      <c r="B70">
        <v>4.66774413932751E-2</v>
      </c>
      <c r="C70">
        <v>-2.7677441393275101E-2</v>
      </c>
    </row>
    <row r="71" spans="1:3" x14ac:dyDescent="0.25">
      <c r="A71">
        <v>47</v>
      </c>
      <c r="B71">
        <v>3.8151548381390399E-2</v>
      </c>
      <c r="C71">
        <v>-3.8151548381390399E-2</v>
      </c>
    </row>
    <row r="72" spans="1:3" x14ac:dyDescent="0.25">
      <c r="A72">
        <v>48</v>
      </c>
      <c r="B72">
        <v>4.5930647844788897E-2</v>
      </c>
      <c r="C72">
        <v>-4.9030647844788902E-2</v>
      </c>
    </row>
    <row r="73" spans="1:3" x14ac:dyDescent="0.25">
      <c r="A73">
        <v>49</v>
      </c>
      <c r="B73">
        <v>4.38474182834488E-4</v>
      </c>
      <c r="C73">
        <v>-4.38474182834488E-4</v>
      </c>
    </row>
    <row r="74" spans="1:3" x14ac:dyDescent="0.25">
      <c r="A74">
        <v>50</v>
      </c>
      <c r="B74">
        <v>2.19087887018143E-2</v>
      </c>
      <c r="C74">
        <v>1.8691211298185701E-2</v>
      </c>
    </row>
    <row r="75" spans="1:3" x14ac:dyDescent="0.25">
      <c r="A75">
        <v>51</v>
      </c>
      <c r="B75">
        <v>-4.6646150651549201E-3</v>
      </c>
      <c r="C75">
        <v>-2.8335384934845099E-2</v>
      </c>
    </row>
    <row r="76" spans="1:3" x14ac:dyDescent="0.25">
      <c r="A76">
        <v>52</v>
      </c>
      <c r="B76">
        <v>2.2095487088935901E-2</v>
      </c>
      <c r="C76">
        <v>-6.5954870889358896E-3</v>
      </c>
    </row>
    <row r="77" spans="1:3" x14ac:dyDescent="0.25">
      <c r="A77" s="17">
        <v>53</v>
      </c>
      <c r="B77" s="17">
        <v>1.30094989156865E-2</v>
      </c>
      <c r="C77" s="17">
        <v>-3.80949891568645E-3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6"/>
  <sheetViews>
    <sheetView zoomScale="85" zoomScaleNormal="85" workbookViewId="0">
      <selection activeCell="B5" sqref="B5"/>
    </sheetView>
  </sheetViews>
  <sheetFormatPr defaultColWidth="9" defaultRowHeight="14.4" x14ac:dyDescent="0.25"/>
  <sheetData>
    <row r="1" spans="1:9" x14ac:dyDescent="0.25">
      <c r="A1" t="s">
        <v>4</v>
      </c>
    </row>
    <row r="3" spans="1:9" ht="15" x14ac:dyDescent="0.3">
      <c r="A3" s="15" t="s">
        <v>5</v>
      </c>
      <c r="B3" s="15"/>
    </row>
    <row r="4" spans="1:9" x14ac:dyDescent="0.25">
      <c r="A4" t="s">
        <v>6</v>
      </c>
      <c r="B4">
        <v>0.376364448667379</v>
      </c>
    </row>
    <row r="5" spans="1:9" ht="15" x14ac:dyDescent="0.3">
      <c r="A5" t="s">
        <v>7</v>
      </c>
      <c r="B5" s="16">
        <v>0.14165019822069999</v>
      </c>
    </row>
    <row r="6" spans="1:9" x14ac:dyDescent="0.25">
      <c r="A6" t="s">
        <v>8</v>
      </c>
      <c r="B6">
        <v>0.12448320218511399</v>
      </c>
    </row>
    <row r="7" spans="1:9" x14ac:dyDescent="0.25">
      <c r="A7" t="s">
        <v>9</v>
      </c>
      <c r="B7">
        <v>2.47498236227283E-2</v>
      </c>
    </row>
    <row r="8" spans="1:9" x14ac:dyDescent="0.25">
      <c r="A8" s="17" t="s">
        <v>10</v>
      </c>
      <c r="B8" s="17">
        <v>52</v>
      </c>
    </row>
    <row r="10" spans="1:9" x14ac:dyDescent="0.25">
      <c r="A10" t="s">
        <v>11</v>
      </c>
    </row>
    <row r="11" spans="1:9" ht="15" x14ac:dyDescent="0.3">
      <c r="A11" s="18"/>
      <c r="B11" s="18" t="s">
        <v>12</v>
      </c>
      <c r="C11" s="18" t="s">
        <v>13</v>
      </c>
      <c r="D11" s="18" t="s">
        <v>14</v>
      </c>
      <c r="E11" s="18" t="s">
        <v>15</v>
      </c>
      <c r="F11" s="18" t="s">
        <v>16</v>
      </c>
    </row>
    <row r="12" spans="1:9" x14ac:dyDescent="0.25">
      <c r="A12" t="s">
        <v>17</v>
      </c>
      <c r="B12">
        <v>1</v>
      </c>
      <c r="C12">
        <v>5.0543707629612297E-3</v>
      </c>
      <c r="D12">
        <v>5.0543707629612297E-3</v>
      </c>
      <c r="E12">
        <v>8.2513095434442594</v>
      </c>
      <c r="F12">
        <v>5.9606382232839997E-3</v>
      </c>
    </row>
    <row r="13" spans="1:9" x14ac:dyDescent="0.25">
      <c r="A13" t="s">
        <v>18</v>
      </c>
      <c r="B13">
        <v>50</v>
      </c>
      <c r="C13">
        <v>3.0627688467808001E-2</v>
      </c>
      <c r="D13">
        <v>6.1255376935616E-4</v>
      </c>
    </row>
    <row r="14" spans="1:9" x14ac:dyDescent="0.25">
      <c r="A14" s="17" t="s">
        <v>19</v>
      </c>
      <c r="B14" s="17">
        <v>51</v>
      </c>
      <c r="C14" s="17">
        <v>3.5682059230769197E-2</v>
      </c>
      <c r="D14" s="17"/>
      <c r="E14" s="17"/>
      <c r="F14" s="17"/>
    </row>
    <row r="16" spans="1:9" ht="15" x14ac:dyDescent="0.3">
      <c r="A16" s="18"/>
      <c r="B16" s="18" t="s">
        <v>20</v>
      </c>
      <c r="C16" s="18" t="s">
        <v>9</v>
      </c>
      <c r="D16" s="18" t="s">
        <v>21</v>
      </c>
      <c r="E16" s="18" t="s">
        <v>22</v>
      </c>
      <c r="F16" s="18" t="s">
        <v>23</v>
      </c>
      <c r="G16" s="18" t="s">
        <v>24</v>
      </c>
      <c r="H16" s="18" t="s">
        <v>25</v>
      </c>
      <c r="I16" s="18" t="s">
        <v>26</v>
      </c>
    </row>
    <row r="17" spans="1:9" x14ac:dyDescent="0.25">
      <c r="A17" t="s">
        <v>27</v>
      </c>
      <c r="B17">
        <v>4.4215073732058099E-3</v>
      </c>
      <c r="C17">
        <v>3.44917816849034E-3</v>
      </c>
      <c r="D17">
        <v>1.28190170446922</v>
      </c>
      <c r="E17">
        <v>0.205789488617902</v>
      </c>
      <c r="F17">
        <v>-2.5063708663744799E-3</v>
      </c>
      <c r="G17">
        <v>1.13493856127861E-2</v>
      </c>
      <c r="H17">
        <v>-2.5063708663744799E-3</v>
      </c>
      <c r="I17">
        <v>1.13493856127861E-2</v>
      </c>
    </row>
    <row r="18" spans="1:9" ht="15" x14ac:dyDescent="0.3">
      <c r="A18" s="17" t="s">
        <v>28</v>
      </c>
      <c r="B18" s="19">
        <v>0.45854233925761101</v>
      </c>
      <c r="C18" s="17">
        <v>0.15963128231218501</v>
      </c>
      <c r="D18" s="17">
        <v>2.8725092764766198</v>
      </c>
      <c r="E18" s="17">
        <v>5.96063822328403E-3</v>
      </c>
      <c r="F18" s="17">
        <v>0.13791347259314199</v>
      </c>
      <c r="G18" s="17">
        <v>0.77917120592208</v>
      </c>
      <c r="H18" s="17">
        <v>0.13791347259314199</v>
      </c>
      <c r="I18" s="17">
        <v>0.77917120592208</v>
      </c>
    </row>
    <row r="22" spans="1:9" x14ac:dyDescent="0.25">
      <c r="A22" t="s">
        <v>29</v>
      </c>
    </row>
    <row r="24" spans="1:9" ht="15" x14ac:dyDescent="0.3">
      <c r="A24" s="18" t="s">
        <v>30</v>
      </c>
      <c r="B24" s="18" t="s">
        <v>31</v>
      </c>
      <c r="C24" s="18" t="s">
        <v>32</v>
      </c>
    </row>
    <row r="25" spans="1:9" x14ac:dyDescent="0.25">
      <c r="A25">
        <v>1</v>
      </c>
      <c r="B25">
        <v>1.0244995081777499E-2</v>
      </c>
      <c r="C25">
        <v>-1.0449950817774699E-3</v>
      </c>
    </row>
    <row r="26" spans="1:9" x14ac:dyDescent="0.25">
      <c r="A26">
        <v>2</v>
      </c>
      <c r="B26">
        <v>-1.19025999043651E-2</v>
      </c>
      <c r="C26">
        <v>1.19025999043651E-2</v>
      </c>
    </row>
    <row r="27" spans="1:9" x14ac:dyDescent="0.25">
      <c r="A27">
        <v>3</v>
      </c>
      <c r="B27">
        <v>-2.0439396103265001E-3</v>
      </c>
      <c r="C27">
        <v>5.0439396103265002E-3</v>
      </c>
    </row>
    <row r="28" spans="1:9" x14ac:dyDescent="0.25">
      <c r="A28">
        <v>4</v>
      </c>
      <c r="B28">
        <v>-1.2957247284657599E-2</v>
      </c>
      <c r="C28">
        <v>1.89572472846576E-2</v>
      </c>
    </row>
    <row r="29" spans="1:9" x14ac:dyDescent="0.25">
      <c r="A29">
        <v>5</v>
      </c>
      <c r="B29">
        <v>1.36840626262096E-2</v>
      </c>
      <c r="C29">
        <v>2.8315937373790401E-2</v>
      </c>
    </row>
    <row r="30" spans="1:9" x14ac:dyDescent="0.25">
      <c r="A30">
        <v>6</v>
      </c>
      <c r="B30">
        <v>1.1299642462070001E-2</v>
      </c>
      <c r="C30">
        <v>1.180035753793E-2</v>
      </c>
    </row>
    <row r="31" spans="1:9" x14ac:dyDescent="0.25">
      <c r="A31">
        <v>7</v>
      </c>
      <c r="B31">
        <v>7.5854495140833299E-3</v>
      </c>
      <c r="C31">
        <v>-2.1685449514083299E-2</v>
      </c>
    </row>
    <row r="32" spans="1:9" x14ac:dyDescent="0.25">
      <c r="A32">
        <v>8</v>
      </c>
      <c r="B32">
        <v>1.08411001228124E-2</v>
      </c>
      <c r="C32">
        <v>2.9158899877187599E-2</v>
      </c>
    </row>
    <row r="33" spans="1:3" x14ac:dyDescent="0.25">
      <c r="A33">
        <v>9</v>
      </c>
      <c r="B33">
        <v>2.3313451750619399E-2</v>
      </c>
      <c r="C33">
        <v>-2.60134517506194E-2</v>
      </c>
    </row>
    <row r="34" spans="1:3" x14ac:dyDescent="0.25">
      <c r="A34">
        <v>10</v>
      </c>
      <c r="B34">
        <v>1.81777775509341E-2</v>
      </c>
      <c r="C34">
        <v>-1.81777775509341E-2</v>
      </c>
    </row>
    <row r="35" spans="1:3" x14ac:dyDescent="0.25">
      <c r="A35">
        <v>11</v>
      </c>
      <c r="B35">
        <v>-4.6117767101691203E-3</v>
      </c>
      <c r="C35">
        <v>2.39117767101691E-2</v>
      </c>
    </row>
    <row r="36" spans="1:3" x14ac:dyDescent="0.25">
      <c r="A36">
        <v>12</v>
      </c>
      <c r="B36">
        <v>1.47387100065021E-2</v>
      </c>
      <c r="C36">
        <v>-6.6387100065020601E-3</v>
      </c>
    </row>
    <row r="37" spans="1:3" x14ac:dyDescent="0.25">
      <c r="A37">
        <v>13</v>
      </c>
      <c r="B37">
        <v>1.7031421702790098E-2</v>
      </c>
      <c r="C37">
        <v>1.5168578297209899E-2</v>
      </c>
    </row>
    <row r="38" spans="1:3" x14ac:dyDescent="0.25">
      <c r="A38">
        <v>14</v>
      </c>
      <c r="B38">
        <v>1.3042103351248901E-2</v>
      </c>
      <c r="C38">
        <v>-5.2421033512489003E-3</v>
      </c>
    </row>
    <row r="39" spans="1:3" x14ac:dyDescent="0.25">
      <c r="A39">
        <v>15</v>
      </c>
      <c r="B39">
        <v>7.9981376194151708E-3</v>
      </c>
      <c r="C39">
        <v>-2.8598137619415199E-2</v>
      </c>
    </row>
    <row r="40" spans="1:3" x14ac:dyDescent="0.25">
      <c r="A40">
        <v>16</v>
      </c>
      <c r="B40">
        <v>4.9259039463891803E-3</v>
      </c>
      <c r="C40">
        <v>-1.8125903946389198E-2</v>
      </c>
    </row>
    <row r="41" spans="1:3" x14ac:dyDescent="0.25">
      <c r="A41">
        <v>17</v>
      </c>
      <c r="B41">
        <v>9.9240154442971403E-3</v>
      </c>
      <c r="C41">
        <v>1.9375984555702899E-2</v>
      </c>
    </row>
    <row r="42" spans="1:3" x14ac:dyDescent="0.25">
      <c r="A42">
        <v>18</v>
      </c>
      <c r="B42">
        <v>-2.3190650138810698E-3</v>
      </c>
      <c r="C42">
        <v>-1.31809349861189E-2</v>
      </c>
    </row>
    <row r="43" spans="1:3" x14ac:dyDescent="0.25">
      <c r="A43">
        <v>19</v>
      </c>
      <c r="B43">
        <v>9.5571815728910502E-3</v>
      </c>
      <c r="C43">
        <v>-2.79571815728911E-2</v>
      </c>
    </row>
    <row r="44" spans="1:3" x14ac:dyDescent="0.25">
      <c r="A44">
        <v>20</v>
      </c>
      <c r="B44">
        <v>-1.5570938618426001E-2</v>
      </c>
      <c r="C44">
        <v>1.2870938618426E-2</v>
      </c>
    </row>
    <row r="45" spans="1:3" x14ac:dyDescent="0.25">
      <c r="A45">
        <v>21</v>
      </c>
      <c r="B45">
        <v>1.5013835410056599E-2</v>
      </c>
      <c r="C45">
        <v>1.1886164589943401E-2</v>
      </c>
    </row>
    <row r="46" spans="1:3" x14ac:dyDescent="0.25">
      <c r="A46">
        <v>22</v>
      </c>
      <c r="B46">
        <v>1.1666476333476099E-2</v>
      </c>
      <c r="C46">
        <v>1.4335236665239399E-3</v>
      </c>
    </row>
    <row r="47" spans="1:3" x14ac:dyDescent="0.25">
      <c r="A47">
        <v>23</v>
      </c>
      <c r="B47">
        <v>1.6756296299235501E-2</v>
      </c>
      <c r="C47">
        <v>3.9437037007644601E-3</v>
      </c>
    </row>
    <row r="48" spans="1:3" x14ac:dyDescent="0.25">
      <c r="A48">
        <v>24</v>
      </c>
      <c r="B48">
        <v>-5.6205698565358697E-3</v>
      </c>
      <c r="C48">
        <v>2.3320569856535901E-2</v>
      </c>
    </row>
    <row r="49" spans="1:3" x14ac:dyDescent="0.25">
      <c r="A49">
        <v>25</v>
      </c>
      <c r="B49">
        <v>5.5220089874240801E-3</v>
      </c>
      <c r="C49">
        <v>5.1677991012575898E-2</v>
      </c>
    </row>
    <row r="50" spans="1:3" x14ac:dyDescent="0.25">
      <c r="A50">
        <v>26</v>
      </c>
      <c r="B50">
        <v>-6.2166748975707601E-3</v>
      </c>
      <c r="C50">
        <v>4.1516674897570799E-2</v>
      </c>
    </row>
    <row r="51" spans="1:3" x14ac:dyDescent="0.25">
      <c r="A51">
        <v>27</v>
      </c>
      <c r="B51">
        <v>-1.9980853764007401E-3</v>
      </c>
      <c r="C51">
        <v>-1.6201914623599298E-2</v>
      </c>
    </row>
    <row r="52" spans="1:3" x14ac:dyDescent="0.25">
      <c r="A52">
        <v>28</v>
      </c>
      <c r="B52">
        <v>5.2389748951611704E-4</v>
      </c>
      <c r="C52">
        <v>-5.12389748951612E-3</v>
      </c>
    </row>
    <row r="53" spans="1:3" x14ac:dyDescent="0.25">
      <c r="A53">
        <v>29</v>
      </c>
      <c r="B53">
        <v>3.1834430572102602E-3</v>
      </c>
      <c r="C53">
        <v>3.81655694278974E-3</v>
      </c>
    </row>
    <row r="54" spans="1:3" x14ac:dyDescent="0.25">
      <c r="A54">
        <v>30</v>
      </c>
      <c r="B54">
        <v>1.7077275936715899E-2</v>
      </c>
      <c r="C54">
        <v>-8.7727593671587496E-4</v>
      </c>
    </row>
    <row r="55" spans="1:3" x14ac:dyDescent="0.25">
      <c r="A55">
        <v>31</v>
      </c>
      <c r="B55">
        <v>7.1269071748257104E-3</v>
      </c>
      <c r="C55">
        <v>-1.39269071748257E-2</v>
      </c>
    </row>
    <row r="56" spans="1:3" x14ac:dyDescent="0.25">
      <c r="A56">
        <v>32</v>
      </c>
      <c r="B56">
        <v>5.3385920517210299E-3</v>
      </c>
      <c r="C56">
        <v>-3.9638592051721003E-2</v>
      </c>
    </row>
    <row r="57" spans="1:3" x14ac:dyDescent="0.25">
      <c r="A57">
        <v>33</v>
      </c>
      <c r="B57">
        <v>-1.8146684406977001E-3</v>
      </c>
      <c r="C57">
        <v>8.9146684406976994E-3</v>
      </c>
    </row>
    <row r="58" spans="1:3" x14ac:dyDescent="0.25">
      <c r="A58">
        <v>34</v>
      </c>
      <c r="B58">
        <v>2.0653906182925199E-2</v>
      </c>
      <c r="C58">
        <v>-2.0653906182925199E-2</v>
      </c>
    </row>
    <row r="59" spans="1:3" x14ac:dyDescent="0.25">
      <c r="A59">
        <v>35</v>
      </c>
      <c r="B59">
        <v>4.7424870106861404E-3</v>
      </c>
      <c r="C59">
        <v>-2.3424870106861402E-3</v>
      </c>
    </row>
    <row r="60" spans="1:3" x14ac:dyDescent="0.25">
      <c r="A60">
        <v>36</v>
      </c>
      <c r="B60">
        <v>-2.54833618350988E-3</v>
      </c>
      <c r="C60">
        <v>-3.5051663816490101E-2</v>
      </c>
    </row>
    <row r="61" spans="1:3" x14ac:dyDescent="0.25">
      <c r="A61">
        <v>37</v>
      </c>
      <c r="B61">
        <v>1.03825577835548E-2</v>
      </c>
      <c r="C61">
        <v>1.1617442216445201E-2</v>
      </c>
    </row>
    <row r="62" spans="1:3" x14ac:dyDescent="0.25">
      <c r="A62">
        <v>38</v>
      </c>
      <c r="B62">
        <v>-1.5525084384500299E-2</v>
      </c>
      <c r="C62">
        <v>-7.2774915615499702E-2</v>
      </c>
    </row>
    <row r="63" spans="1:3" x14ac:dyDescent="0.25">
      <c r="A63">
        <v>39</v>
      </c>
      <c r="B63">
        <v>3.3668599929133E-3</v>
      </c>
      <c r="C63">
        <v>-1.3866859992913301E-2</v>
      </c>
    </row>
    <row r="64" spans="1:3" x14ac:dyDescent="0.25">
      <c r="A64">
        <v>40</v>
      </c>
      <c r="B64">
        <v>1.57475031528688E-2</v>
      </c>
      <c r="C64">
        <v>2.7524968471311999E-3</v>
      </c>
    </row>
    <row r="65" spans="1:3" x14ac:dyDescent="0.25">
      <c r="A65">
        <v>41</v>
      </c>
      <c r="B65">
        <v>5.5220089874240801E-3</v>
      </c>
      <c r="C65">
        <v>2.8277991012575901E-2</v>
      </c>
    </row>
    <row r="66" spans="1:3" x14ac:dyDescent="0.25">
      <c r="A66">
        <v>42</v>
      </c>
      <c r="B66">
        <v>9.6947442746683297E-3</v>
      </c>
      <c r="C66">
        <v>3.3005255725331702E-2</v>
      </c>
    </row>
    <row r="67" spans="1:3" x14ac:dyDescent="0.25">
      <c r="A67">
        <v>43</v>
      </c>
      <c r="B67">
        <v>8.9073136092220496E-4</v>
      </c>
      <c r="C67">
        <v>-3.9490731360922203E-2</v>
      </c>
    </row>
    <row r="68" spans="1:3" x14ac:dyDescent="0.25">
      <c r="A68">
        <v>44</v>
      </c>
      <c r="B68">
        <v>8.9152222979303995E-3</v>
      </c>
      <c r="C68">
        <v>-1.14152222979304E-2</v>
      </c>
    </row>
    <row r="69" spans="1:3" x14ac:dyDescent="0.25">
      <c r="A69">
        <v>45</v>
      </c>
      <c r="B69">
        <v>7.9981376194151708E-3</v>
      </c>
      <c r="C69">
        <v>3.2201862380584798E-2</v>
      </c>
    </row>
    <row r="70" spans="1:3" x14ac:dyDescent="0.25">
      <c r="A70">
        <v>46</v>
      </c>
      <c r="B70">
        <v>4.9717581803149398E-3</v>
      </c>
      <c r="C70">
        <v>-7.37175818031494E-3</v>
      </c>
    </row>
    <row r="71" spans="1:3" x14ac:dyDescent="0.25">
      <c r="A71">
        <v>47</v>
      </c>
      <c r="B71">
        <v>-2.36871380232857E-2</v>
      </c>
      <c r="C71">
        <v>-5.1286197671425405E-4</v>
      </c>
    </row>
    <row r="72" spans="1:3" x14ac:dyDescent="0.25">
      <c r="A72">
        <v>48</v>
      </c>
      <c r="B72">
        <v>1.52431065796854E-2</v>
      </c>
      <c r="C72">
        <v>1.45568934203146E-2</v>
      </c>
    </row>
    <row r="73" spans="1:3" x14ac:dyDescent="0.25">
      <c r="A73">
        <v>49</v>
      </c>
      <c r="B73">
        <v>1.4555293070799001E-2</v>
      </c>
      <c r="C73">
        <v>-3.8655293070798999E-2</v>
      </c>
    </row>
    <row r="74" spans="1:3" x14ac:dyDescent="0.25">
      <c r="A74">
        <v>50</v>
      </c>
      <c r="B74">
        <v>-1.2644176335885699E-3</v>
      </c>
      <c r="C74">
        <v>-3.6355823664114299E-3</v>
      </c>
    </row>
    <row r="75" spans="1:3" x14ac:dyDescent="0.25">
      <c r="A75">
        <v>51</v>
      </c>
      <c r="B75">
        <v>6.07225979453321E-3</v>
      </c>
      <c r="C75">
        <v>4.8527740205466803E-2</v>
      </c>
    </row>
    <row r="76" spans="1:3" x14ac:dyDescent="0.25">
      <c r="A76" s="17">
        <v>52</v>
      </c>
      <c r="B76" s="17">
        <v>5.7512801570528804E-3</v>
      </c>
      <c r="C76" s="17">
        <v>-5.7512801570528804E-3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6"/>
  <sheetViews>
    <sheetView zoomScale="85" zoomScaleNormal="85" workbookViewId="0">
      <selection activeCell="B5" sqref="B5"/>
    </sheetView>
  </sheetViews>
  <sheetFormatPr defaultColWidth="9" defaultRowHeight="14.4" x14ac:dyDescent="0.25"/>
  <sheetData>
    <row r="1" spans="1:9" x14ac:dyDescent="0.25">
      <c r="A1" t="s">
        <v>4</v>
      </c>
    </row>
    <row r="3" spans="1:9" ht="15" x14ac:dyDescent="0.3">
      <c r="A3" s="15" t="s">
        <v>5</v>
      </c>
      <c r="B3" s="15"/>
    </row>
    <row r="4" spans="1:9" x14ac:dyDescent="0.25">
      <c r="A4" t="s">
        <v>6</v>
      </c>
      <c r="B4">
        <v>0.425854586265839</v>
      </c>
    </row>
    <row r="5" spans="1:9" ht="15" x14ac:dyDescent="0.3">
      <c r="A5" t="s">
        <v>7</v>
      </c>
      <c r="B5" s="16">
        <v>0.181352128643649</v>
      </c>
    </row>
    <row r="6" spans="1:9" x14ac:dyDescent="0.25">
      <c r="A6" t="s">
        <v>8</v>
      </c>
      <c r="B6">
        <v>0.164979171216522</v>
      </c>
    </row>
    <row r="7" spans="1:9" x14ac:dyDescent="0.25">
      <c r="A7" t="s">
        <v>9</v>
      </c>
      <c r="B7">
        <v>3.3159447570376498E-2</v>
      </c>
    </row>
    <row r="8" spans="1:9" x14ac:dyDescent="0.25">
      <c r="A8" s="17" t="s">
        <v>10</v>
      </c>
      <c r="B8" s="17">
        <v>52</v>
      </c>
    </row>
    <row r="10" spans="1:9" x14ac:dyDescent="0.25">
      <c r="A10" t="s">
        <v>11</v>
      </c>
    </row>
    <row r="11" spans="1:9" ht="15" x14ac:dyDescent="0.3">
      <c r="A11" s="18"/>
      <c r="B11" s="18" t="s">
        <v>12</v>
      </c>
      <c r="C11" s="18" t="s">
        <v>13</v>
      </c>
      <c r="D11" s="18" t="s">
        <v>14</v>
      </c>
      <c r="E11" s="18" t="s">
        <v>15</v>
      </c>
      <c r="F11" s="18" t="s">
        <v>16</v>
      </c>
    </row>
    <row r="12" spans="1:9" x14ac:dyDescent="0.25">
      <c r="A12" t="s">
        <v>17</v>
      </c>
      <c r="B12">
        <v>1</v>
      </c>
      <c r="C12">
        <v>1.2178957033680399E-2</v>
      </c>
      <c r="D12">
        <v>1.2178957033680399E-2</v>
      </c>
      <c r="E12">
        <v>11.076320783878799</v>
      </c>
      <c r="F12">
        <v>1.6463487762077599E-3</v>
      </c>
    </row>
    <row r="13" spans="1:9" x14ac:dyDescent="0.25">
      <c r="A13" t="s">
        <v>18</v>
      </c>
      <c r="B13">
        <v>50</v>
      </c>
      <c r="C13">
        <v>5.4977448158627297E-2</v>
      </c>
      <c r="D13">
        <v>1.0995489631725501E-3</v>
      </c>
    </row>
    <row r="14" spans="1:9" x14ac:dyDescent="0.25">
      <c r="A14" s="17" t="s">
        <v>19</v>
      </c>
      <c r="B14" s="17">
        <v>51</v>
      </c>
      <c r="C14" s="17">
        <v>6.71564051923077E-2</v>
      </c>
      <c r="D14" s="17"/>
      <c r="E14" s="17"/>
      <c r="F14" s="17"/>
    </row>
    <row r="16" spans="1:9" ht="15" x14ac:dyDescent="0.3">
      <c r="A16" s="18"/>
      <c r="B16" s="18" t="s">
        <v>20</v>
      </c>
      <c r="C16" s="18" t="s">
        <v>9</v>
      </c>
      <c r="D16" s="18" t="s">
        <v>21</v>
      </c>
      <c r="E16" s="18" t="s">
        <v>22</v>
      </c>
      <c r="F16" s="18" t="s">
        <v>23</v>
      </c>
      <c r="G16" s="18" t="s">
        <v>24</v>
      </c>
      <c r="H16" s="18" t="s">
        <v>25</v>
      </c>
      <c r="I16" s="18" t="s">
        <v>26</v>
      </c>
    </row>
    <row r="17" spans="1:9" x14ac:dyDescent="0.25">
      <c r="A17" t="s">
        <v>27</v>
      </c>
      <c r="B17">
        <v>-6.0313841073624504E-3</v>
      </c>
      <c r="C17">
        <v>4.6021815832701799E-3</v>
      </c>
      <c r="D17">
        <v>-1.31054892081784</v>
      </c>
      <c r="E17">
        <v>0.19599841940984999</v>
      </c>
      <c r="F17">
        <v>-1.52751378619821E-2</v>
      </c>
      <c r="G17">
        <v>3.2123696472571698E-3</v>
      </c>
      <c r="H17">
        <v>-1.52751378619821E-2</v>
      </c>
      <c r="I17">
        <v>3.2123696472571698E-3</v>
      </c>
    </row>
    <row r="18" spans="1:9" ht="15" x14ac:dyDescent="0.3">
      <c r="A18" s="17" t="s">
        <v>28</v>
      </c>
      <c r="B18" s="19">
        <v>0.49286545095804002</v>
      </c>
      <c r="C18" s="17">
        <v>0.14809166414342301</v>
      </c>
      <c r="D18" s="17">
        <v>3.32811069285244</v>
      </c>
      <c r="E18" s="17">
        <v>1.64634877620774E-3</v>
      </c>
      <c r="F18" s="17">
        <v>0.19541458951660201</v>
      </c>
      <c r="G18" s="17">
        <v>0.79031631239947797</v>
      </c>
      <c r="H18" s="17">
        <v>0.19541458951660201</v>
      </c>
      <c r="I18" s="17">
        <v>0.79031631239947797</v>
      </c>
    </row>
    <row r="22" spans="1:9" x14ac:dyDescent="0.25">
      <c r="A22" t="s">
        <v>29</v>
      </c>
    </row>
    <row r="24" spans="1:9" ht="15" x14ac:dyDescent="0.3">
      <c r="A24" s="18" t="s">
        <v>30</v>
      </c>
      <c r="B24" s="18" t="s">
        <v>31</v>
      </c>
      <c r="C24" s="18" t="s">
        <v>32</v>
      </c>
    </row>
    <row r="25" spans="1:9" x14ac:dyDescent="0.25">
      <c r="A25">
        <v>1</v>
      </c>
      <c r="B25">
        <v>1.21373802172073E-3</v>
      </c>
      <c r="C25">
        <v>-1.0613738021720699E-2</v>
      </c>
    </row>
    <row r="26" spans="1:9" x14ac:dyDescent="0.25">
      <c r="A26">
        <v>2</v>
      </c>
      <c r="B26">
        <v>1.72811517229528E-2</v>
      </c>
      <c r="C26">
        <v>-1.2481151722952799E-2</v>
      </c>
    </row>
    <row r="27" spans="1:9" x14ac:dyDescent="0.25">
      <c r="A27">
        <v>3</v>
      </c>
      <c r="B27">
        <v>-9.6293018993561397E-3</v>
      </c>
      <c r="C27">
        <v>-1.8770698100643898E-2</v>
      </c>
    </row>
    <row r="28" spans="1:9" x14ac:dyDescent="0.25">
      <c r="A28">
        <v>4</v>
      </c>
      <c r="B28">
        <v>-1.5445114220660999E-2</v>
      </c>
      <c r="C28">
        <v>2.5145114220661E-2</v>
      </c>
    </row>
    <row r="29" spans="1:9" x14ac:dyDescent="0.25">
      <c r="A29">
        <v>5</v>
      </c>
      <c r="B29">
        <v>4.9595154490018403E-3</v>
      </c>
      <c r="C29">
        <v>4.6404845509981597E-3</v>
      </c>
    </row>
    <row r="30" spans="1:9" x14ac:dyDescent="0.25">
      <c r="A30">
        <v>6</v>
      </c>
      <c r="B30">
        <v>7.5717023390794499E-3</v>
      </c>
      <c r="C30">
        <v>-2.9071702339079401E-2</v>
      </c>
    </row>
    <row r="31" spans="1:9" x14ac:dyDescent="0.25">
      <c r="A31">
        <v>7</v>
      </c>
      <c r="B31">
        <v>-1.37200851423079E-2</v>
      </c>
      <c r="C31">
        <v>-1.3079914857692099E-2</v>
      </c>
    </row>
    <row r="32" spans="1:9" x14ac:dyDescent="0.25">
      <c r="A32">
        <v>8</v>
      </c>
      <c r="B32">
        <v>-2.0817347636103701E-2</v>
      </c>
      <c r="C32">
        <v>-2.67826523638964E-2</v>
      </c>
    </row>
    <row r="33" spans="1:3" x14ac:dyDescent="0.25">
      <c r="A33">
        <v>9</v>
      </c>
      <c r="B33">
        <v>-6.21194724263874E-2</v>
      </c>
      <c r="C33">
        <v>4.8919472426387403E-2</v>
      </c>
    </row>
    <row r="34" spans="1:3" x14ac:dyDescent="0.25">
      <c r="A34">
        <v>10</v>
      </c>
      <c r="B34">
        <v>-2.2856066800813501E-3</v>
      </c>
      <c r="C34">
        <v>-1.3714393319918699E-2</v>
      </c>
    </row>
    <row r="35" spans="1:3" x14ac:dyDescent="0.25">
      <c r="A35">
        <v>11</v>
      </c>
      <c r="B35">
        <v>1.4767537923066801E-2</v>
      </c>
      <c r="C35">
        <v>-1.1675379230668399E-3</v>
      </c>
    </row>
    <row r="36" spans="1:3" x14ac:dyDescent="0.25">
      <c r="A36">
        <v>12</v>
      </c>
      <c r="B36">
        <v>-1.73180029343016E-2</v>
      </c>
      <c r="C36">
        <v>-2.5481997065698401E-2</v>
      </c>
    </row>
    <row r="37" spans="1:3" x14ac:dyDescent="0.25">
      <c r="A37">
        <v>13</v>
      </c>
      <c r="B37">
        <v>2.1766227326670998E-2</v>
      </c>
      <c r="C37">
        <v>2.5733772673328999E-2</v>
      </c>
    </row>
    <row r="38" spans="1:3" x14ac:dyDescent="0.25">
      <c r="A38">
        <v>14</v>
      </c>
      <c r="B38">
        <v>2.5937612844032501E-3</v>
      </c>
      <c r="C38">
        <v>-3.9893761284403202E-2</v>
      </c>
    </row>
    <row r="39" spans="1:3" x14ac:dyDescent="0.25">
      <c r="A39">
        <v>15</v>
      </c>
      <c r="B39">
        <v>8.6873220605010503E-4</v>
      </c>
      <c r="C39">
        <v>4.3431267793949901E-2</v>
      </c>
    </row>
    <row r="40" spans="1:3" x14ac:dyDescent="0.25">
      <c r="A40">
        <v>16</v>
      </c>
      <c r="B40">
        <v>1.04303219546361E-2</v>
      </c>
      <c r="C40">
        <v>-4.4930321954636102E-2</v>
      </c>
    </row>
    <row r="41" spans="1:3" x14ac:dyDescent="0.25">
      <c r="A41">
        <v>17</v>
      </c>
      <c r="B41">
        <v>-2.0176622549858199E-2</v>
      </c>
      <c r="C41">
        <v>-1.8323377450141801E-2</v>
      </c>
    </row>
    <row r="42" spans="1:3" x14ac:dyDescent="0.25">
      <c r="A42">
        <v>18</v>
      </c>
      <c r="B42">
        <v>-3.5800457345228097E-2</v>
      </c>
      <c r="C42">
        <v>-3.5599542654771901E-2</v>
      </c>
    </row>
    <row r="43" spans="1:3" x14ac:dyDescent="0.25">
      <c r="A43">
        <v>19</v>
      </c>
      <c r="B43">
        <v>-5.8835244720750399E-3</v>
      </c>
      <c r="C43">
        <v>-3.1647552792495802E-4</v>
      </c>
    </row>
    <row r="44" spans="1:3" x14ac:dyDescent="0.25">
      <c r="A44">
        <v>20</v>
      </c>
      <c r="B44">
        <v>-9.9743077150267704E-3</v>
      </c>
      <c r="C44">
        <v>6.7430771502677495E-4</v>
      </c>
    </row>
    <row r="45" spans="1:3" x14ac:dyDescent="0.25">
      <c r="A45">
        <v>21</v>
      </c>
      <c r="B45">
        <v>1.1958204852606E-2</v>
      </c>
      <c r="C45">
        <v>-5.758204852606E-3</v>
      </c>
    </row>
    <row r="46" spans="1:3" x14ac:dyDescent="0.25">
      <c r="A46">
        <v>22</v>
      </c>
      <c r="B46">
        <v>-3.0249048565184102E-3</v>
      </c>
      <c r="C46">
        <v>-6.5275095143481607E-2</v>
      </c>
    </row>
    <row r="47" spans="1:3" x14ac:dyDescent="0.25">
      <c r="A47">
        <v>23</v>
      </c>
      <c r="B47">
        <v>-2.4908130879055398E-2</v>
      </c>
      <c r="C47">
        <v>1.8208130879055401E-2</v>
      </c>
    </row>
    <row r="48" spans="1:3" x14ac:dyDescent="0.25">
      <c r="A48">
        <v>24</v>
      </c>
      <c r="B48">
        <v>-2.7273885043653998E-2</v>
      </c>
      <c r="C48">
        <v>-1.3026114956346001E-2</v>
      </c>
    </row>
    <row r="49" spans="1:3" x14ac:dyDescent="0.25">
      <c r="A49">
        <v>25</v>
      </c>
      <c r="B49">
        <v>-4.1271796644079799E-4</v>
      </c>
      <c r="C49">
        <v>-1.00872820335592E-2</v>
      </c>
    </row>
    <row r="50" spans="1:3" x14ac:dyDescent="0.25">
      <c r="A50">
        <v>26</v>
      </c>
      <c r="B50">
        <v>-2.31831018007022E-2</v>
      </c>
      <c r="C50">
        <v>-5.1168981992977597E-3</v>
      </c>
    </row>
    <row r="51" spans="1:3" x14ac:dyDescent="0.25">
      <c r="A51">
        <v>27</v>
      </c>
      <c r="B51">
        <v>-8.2492786366736293E-3</v>
      </c>
      <c r="C51">
        <v>2.6449278636673599E-2</v>
      </c>
    </row>
    <row r="52" spans="1:3" x14ac:dyDescent="0.25">
      <c r="A52">
        <v>28</v>
      </c>
      <c r="B52">
        <v>-1.0664319346368E-2</v>
      </c>
      <c r="C52">
        <v>5.3564319346368003E-2</v>
      </c>
    </row>
    <row r="53" spans="1:3" x14ac:dyDescent="0.25">
      <c r="A53">
        <v>29</v>
      </c>
      <c r="B53">
        <v>1.5901128460270302E-2</v>
      </c>
      <c r="C53">
        <v>-5.60112846027033E-3</v>
      </c>
    </row>
    <row r="54" spans="1:3" x14ac:dyDescent="0.25">
      <c r="A54">
        <v>30</v>
      </c>
      <c r="B54">
        <v>6.4873983469717596E-3</v>
      </c>
      <c r="C54">
        <v>-4.0387398346971803E-2</v>
      </c>
    </row>
    <row r="55" spans="1:3" x14ac:dyDescent="0.25">
      <c r="A55">
        <v>31</v>
      </c>
      <c r="B55">
        <v>-7.0664015543743398E-3</v>
      </c>
      <c r="C55">
        <v>5.6166401554374301E-2</v>
      </c>
    </row>
    <row r="56" spans="1:3" x14ac:dyDescent="0.25">
      <c r="A56">
        <v>32</v>
      </c>
      <c r="B56">
        <v>1.1120333585977299E-2</v>
      </c>
      <c r="C56">
        <v>-1.44203335859773E-2</v>
      </c>
    </row>
    <row r="57" spans="1:3" x14ac:dyDescent="0.25">
      <c r="A57">
        <v>33</v>
      </c>
      <c r="B57">
        <v>5.4030943548640702E-3</v>
      </c>
      <c r="C57">
        <v>1.13969056451359E-2</v>
      </c>
    </row>
    <row r="58" spans="1:3" x14ac:dyDescent="0.25">
      <c r="A58">
        <v>34</v>
      </c>
      <c r="B58">
        <v>-8.9885768131106897E-3</v>
      </c>
      <c r="C58">
        <v>-1.4111423186889301E-2</v>
      </c>
    </row>
    <row r="59" spans="1:3" x14ac:dyDescent="0.25">
      <c r="A59">
        <v>35</v>
      </c>
      <c r="B59">
        <v>-3.3040410819863003E-2</v>
      </c>
      <c r="C59">
        <v>-4.1595891801369496E-3</v>
      </c>
    </row>
    <row r="60" spans="1:3" x14ac:dyDescent="0.25">
      <c r="A60">
        <v>36</v>
      </c>
      <c r="B60">
        <v>-7.7071266406197898E-3</v>
      </c>
      <c r="C60">
        <v>-5.89928733593802E-2</v>
      </c>
    </row>
    <row r="61" spans="1:3" x14ac:dyDescent="0.25">
      <c r="A61">
        <v>37</v>
      </c>
      <c r="B61">
        <v>-9.38286917387713E-3</v>
      </c>
      <c r="C61">
        <v>1.6882869173877098E-2</v>
      </c>
    </row>
    <row r="62" spans="1:3" x14ac:dyDescent="0.25">
      <c r="A62">
        <v>38</v>
      </c>
      <c r="B62">
        <v>-2.84567621259533E-2</v>
      </c>
      <c r="C62">
        <v>-2.37432378740467E-2</v>
      </c>
    </row>
    <row r="63" spans="1:3" x14ac:dyDescent="0.25">
      <c r="A63">
        <v>39</v>
      </c>
      <c r="B63">
        <v>-9.2350095385897099E-3</v>
      </c>
      <c r="C63">
        <v>5.3350095385897101E-3</v>
      </c>
    </row>
    <row r="64" spans="1:3" x14ac:dyDescent="0.25">
      <c r="A64">
        <v>40</v>
      </c>
      <c r="B64">
        <v>7.1281234332172096E-3</v>
      </c>
      <c r="C64">
        <v>7.9871876566782796E-2</v>
      </c>
    </row>
    <row r="65" spans="1:3" x14ac:dyDescent="0.25">
      <c r="A65">
        <v>41</v>
      </c>
      <c r="B65">
        <v>5.0088019940976404E-3</v>
      </c>
      <c r="C65">
        <v>-1.9508801994097599E-2</v>
      </c>
    </row>
    <row r="66" spans="1:3" x14ac:dyDescent="0.25">
      <c r="A66">
        <v>42</v>
      </c>
      <c r="B66">
        <v>7.3745561586962298E-3</v>
      </c>
      <c r="C66">
        <v>-1.8474556158696202E-2</v>
      </c>
    </row>
    <row r="67" spans="1:3" x14ac:dyDescent="0.25">
      <c r="A67">
        <v>43</v>
      </c>
      <c r="B67">
        <v>-2.7291855859435899E-3</v>
      </c>
      <c r="C67">
        <v>1.3929185585943599E-2</v>
      </c>
    </row>
    <row r="68" spans="1:3" x14ac:dyDescent="0.25">
      <c r="A68">
        <v>44</v>
      </c>
      <c r="B68">
        <v>4.4666499980438E-3</v>
      </c>
      <c r="C68">
        <v>-8.1666499980438002E-3</v>
      </c>
    </row>
    <row r="69" spans="1:3" x14ac:dyDescent="0.25">
      <c r="A69">
        <v>45</v>
      </c>
      <c r="B69">
        <v>4.4173634529479904E-3</v>
      </c>
      <c r="C69">
        <v>6.2282636547052003E-2</v>
      </c>
    </row>
    <row r="70" spans="1:3" x14ac:dyDescent="0.25">
      <c r="A70">
        <v>46</v>
      </c>
      <c r="B70">
        <v>-1.03686000757932E-2</v>
      </c>
      <c r="C70">
        <v>-3.1399924206794098E-5</v>
      </c>
    </row>
    <row r="71" spans="1:3" x14ac:dyDescent="0.25">
      <c r="A71">
        <v>47</v>
      </c>
      <c r="B71">
        <v>9.3460179625283902E-3</v>
      </c>
      <c r="C71">
        <v>7.1353982037471606E-2</v>
      </c>
    </row>
    <row r="72" spans="1:3" x14ac:dyDescent="0.25">
      <c r="A72">
        <v>48</v>
      </c>
      <c r="B72">
        <v>-1.33750793266372E-2</v>
      </c>
      <c r="C72">
        <v>-3.21249206733627E-2</v>
      </c>
    </row>
    <row r="73" spans="1:3" x14ac:dyDescent="0.25">
      <c r="A73">
        <v>49</v>
      </c>
      <c r="B73">
        <v>5.2372639037947697E-4</v>
      </c>
      <c r="C73">
        <v>1.98762736096205E-2</v>
      </c>
    </row>
    <row r="74" spans="1:3" x14ac:dyDescent="0.25">
      <c r="A74">
        <v>50</v>
      </c>
      <c r="B74">
        <v>-8.2492786366736293E-3</v>
      </c>
      <c r="C74">
        <v>6.8249278636673599E-2</v>
      </c>
    </row>
    <row r="75" spans="1:3" x14ac:dyDescent="0.25">
      <c r="A75">
        <v>51</v>
      </c>
      <c r="B75">
        <v>-9.5486996249464205E-4</v>
      </c>
      <c r="C75">
        <v>-5.3451300375053599E-3</v>
      </c>
    </row>
    <row r="76" spans="1:3" x14ac:dyDescent="0.25">
      <c r="A76" s="17">
        <v>52</v>
      </c>
      <c r="B76" s="17">
        <v>-1.44773541345268E-3</v>
      </c>
      <c r="C76" s="17">
        <v>-1.7552264586547298E-2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7"/>
  <sheetViews>
    <sheetView zoomScale="85" zoomScaleNormal="85" workbookViewId="0">
      <selection activeCell="B5" sqref="B5"/>
    </sheetView>
  </sheetViews>
  <sheetFormatPr defaultColWidth="9" defaultRowHeight="14.4" x14ac:dyDescent="0.25"/>
  <cols>
    <col min="5" max="5" width="12" customWidth="1"/>
    <col min="6" max="6" width="12.77734375" customWidth="1"/>
  </cols>
  <sheetData>
    <row r="1" spans="1:9" x14ac:dyDescent="0.25">
      <c r="A1" t="s">
        <v>4</v>
      </c>
    </row>
    <row r="3" spans="1:9" ht="15" x14ac:dyDescent="0.3">
      <c r="A3" s="15" t="s">
        <v>5</v>
      </c>
      <c r="B3" s="15"/>
    </row>
    <row r="4" spans="1:9" x14ac:dyDescent="0.25">
      <c r="A4" t="s">
        <v>6</v>
      </c>
      <c r="B4">
        <v>0.34024364270721003</v>
      </c>
    </row>
    <row r="5" spans="1:9" ht="15" x14ac:dyDescent="0.3">
      <c r="A5" t="s">
        <v>7</v>
      </c>
      <c r="B5" s="16">
        <v>0.115765736402672</v>
      </c>
    </row>
    <row r="6" spans="1:9" x14ac:dyDescent="0.25">
      <c r="A6" t="s">
        <v>8</v>
      </c>
      <c r="B6">
        <v>9.8427809665469296E-2</v>
      </c>
    </row>
    <row r="7" spans="1:9" x14ac:dyDescent="0.25">
      <c r="A7" t="s">
        <v>9</v>
      </c>
      <c r="B7">
        <v>3.1062448109887002E-2</v>
      </c>
    </row>
    <row r="8" spans="1:9" x14ac:dyDescent="0.25">
      <c r="A8" s="17" t="s">
        <v>10</v>
      </c>
      <c r="B8" s="17">
        <v>53</v>
      </c>
    </row>
    <row r="10" spans="1:9" x14ac:dyDescent="0.25">
      <c r="A10" t="s">
        <v>11</v>
      </c>
    </row>
    <row r="11" spans="1:9" ht="15" x14ac:dyDescent="0.3">
      <c r="A11" s="18"/>
      <c r="B11" s="18" t="s">
        <v>12</v>
      </c>
      <c r="C11" s="18" t="s">
        <v>13</v>
      </c>
      <c r="D11" s="18" t="s">
        <v>14</v>
      </c>
      <c r="E11" s="18" t="s">
        <v>15</v>
      </c>
      <c r="F11" s="18" t="s">
        <v>16</v>
      </c>
    </row>
    <row r="12" spans="1:9" x14ac:dyDescent="0.25">
      <c r="A12" t="s">
        <v>17</v>
      </c>
      <c r="B12">
        <v>1</v>
      </c>
      <c r="C12">
        <v>6.4424971695814402E-3</v>
      </c>
      <c r="D12">
        <v>6.4424971695814402E-3</v>
      </c>
      <c r="E12">
        <v>6.6770230464908904</v>
      </c>
      <c r="F12">
        <v>1.26735770260259E-2</v>
      </c>
    </row>
    <row r="13" spans="1:9" x14ac:dyDescent="0.25">
      <c r="A13" t="s">
        <v>18</v>
      </c>
      <c r="B13">
        <v>51</v>
      </c>
      <c r="C13">
        <v>4.9208659811550599E-2</v>
      </c>
      <c r="D13">
        <v>9.6487568257942399E-4</v>
      </c>
    </row>
    <row r="14" spans="1:9" x14ac:dyDescent="0.25">
      <c r="A14" s="17" t="s">
        <v>19</v>
      </c>
      <c r="B14" s="17">
        <v>52</v>
      </c>
      <c r="C14" s="17">
        <v>5.5651156981132099E-2</v>
      </c>
      <c r="D14" s="17"/>
      <c r="E14" s="17"/>
      <c r="F14" s="17"/>
    </row>
    <row r="16" spans="1:9" ht="15" x14ac:dyDescent="0.3">
      <c r="A16" s="18"/>
      <c r="B16" s="18" t="s">
        <v>20</v>
      </c>
      <c r="C16" s="18" t="s">
        <v>9</v>
      </c>
      <c r="D16" s="18" t="s">
        <v>21</v>
      </c>
      <c r="E16" s="18" t="s">
        <v>22</v>
      </c>
      <c r="F16" s="18" t="s">
        <v>23</v>
      </c>
      <c r="G16" s="18" t="s">
        <v>24</v>
      </c>
      <c r="H16" s="18" t="s">
        <v>25</v>
      </c>
      <c r="I16" s="18" t="s">
        <v>26</v>
      </c>
    </row>
    <row r="17" spans="1:9" x14ac:dyDescent="0.25">
      <c r="A17" t="s">
        <v>27</v>
      </c>
      <c r="B17">
        <v>6.0964519441212596E-3</v>
      </c>
      <c r="C17">
        <v>4.4317891094935299E-3</v>
      </c>
      <c r="D17">
        <v>1.3756186933764001</v>
      </c>
      <c r="E17">
        <v>0.17495165112514699</v>
      </c>
      <c r="F17">
        <v>-2.8007359455604198E-3</v>
      </c>
      <c r="G17">
        <v>1.49936398338029E-2</v>
      </c>
      <c r="H17">
        <v>-2.8007359455604198E-3</v>
      </c>
      <c r="I17">
        <v>1.49936398338029E-2</v>
      </c>
    </row>
    <row r="18" spans="1:9" ht="15" x14ac:dyDescent="0.3">
      <c r="A18" s="17" t="s">
        <v>28</v>
      </c>
      <c r="B18" s="19">
        <v>0.45491557239138702</v>
      </c>
      <c r="C18" s="17">
        <v>0.176051352544871</v>
      </c>
      <c r="D18" s="17">
        <v>2.5839936235391301</v>
      </c>
      <c r="E18" s="17">
        <v>1.2673577026025999E-2</v>
      </c>
      <c r="F18" s="17">
        <v>0.101477734280152</v>
      </c>
      <c r="G18" s="17">
        <v>0.80835341050262099</v>
      </c>
      <c r="H18" s="17">
        <v>0.101477734280152</v>
      </c>
      <c r="I18" s="17">
        <v>0.80835341050262099</v>
      </c>
    </row>
    <row r="22" spans="1:9" x14ac:dyDescent="0.25">
      <c r="A22" t="s">
        <v>29</v>
      </c>
    </row>
    <row r="24" spans="1:9" ht="15" x14ac:dyDescent="0.3">
      <c r="A24" s="18" t="s">
        <v>30</v>
      </c>
      <c r="B24" s="18" t="s">
        <v>31</v>
      </c>
      <c r="C24" s="18" t="s">
        <v>32</v>
      </c>
    </row>
    <row r="25" spans="1:9" x14ac:dyDescent="0.25">
      <c r="A25">
        <v>1</v>
      </c>
      <c r="B25">
        <v>1.6695984780840601E-2</v>
      </c>
      <c r="C25">
        <v>2.85040152191594E-2</v>
      </c>
    </row>
    <row r="26" spans="1:9" x14ac:dyDescent="0.25">
      <c r="A26">
        <v>2</v>
      </c>
      <c r="B26">
        <v>1.41939491326879E-2</v>
      </c>
      <c r="C26">
        <v>-1.1093949132687899E-2</v>
      </c>
    </row>
    <row r="27" spans="1:9" x14ac:dyDescent="0.25">
      <c r="A27">
        <v>3</v>
      </c>
      <c r="B27">
        <v>1.1100523240426499E-2</v>
      </c>
      <c r="C27">
        <v>-2.0300523240426499E-2</v>
      </c>
    </row>
    <row r="28" spans="1:9" x14ac:dyDescent="0.25">
      <c r="A28">
        <v>4</v>
      </c>
      <c r="B28">
        <v>2.30193112370808E-2</v>
      </c>
      <c r="C28">
        <v>-7.2719311237080794E-2</v>
      </c>
    </row>
    <row r="29" spans="1:9" x14ac:dyDescent="0.25">
      <c r="A29">
        <v>5</v>
      </c>
      <c r="B29">
        <v>1.4148457575448799E-2</v>
      </c>
      <c r="C29">
        <v>-1.0484575754488099E-3</v>
      </c>
    </row>
    <row r="30" spans="1:9" x14ac:dyDescent="0.25">
      <c r="A30">
        <v>6</v>
      </c>
      <c r="B30">
        <v>2.1381615176471899E-2</v>
      </c>
      <c r="C30">
        <v>-3.7481615176471798E-2</v>
      </c>
    </row>
    <row r="31" spans="1:9" x14ac:dyDescent="0.25">
      <c r="A31">
        <v>7</v>
      </c>
      <c r="B31">
        <v>2.08357164896022E-2</v>
      </c>
      <c r="C31">
        <v>-1.1357164896021899E-3</v>
      </c>
    </row>
    <row r="32" spans="1:9" x14ac:dyDescent="0.25">
      <c r="A32">
        <v>8</v>
      </c>
      <c r="B32">
        <v>1.0463641439078601E-2</v>
      </c>
      <c r="C32">
        <v>8.8363585609214298E-3</v>
      </c>
    </row>
    <row r="33" spans="1:3" x14ac:dyDescent="0.25">
      <c r="A33">
        <v>9</v>
      </c>
      <c r="B33">
        <v>6.6423506309909296E-3</v>
      </c>
      <c r="C33">
        <v>-3.4235063099092699E-4</v>
      </c>
    </row>
    <row r="34" spans="1:3" x14ac:dyDescent="0.25">
      <c r="A34">
        <v>10</v>
      </c>
      <c r="B34">
        <v>-1.7741124049187401E-2</v>
      </c>
      <c r="C34">
        <v>4.9041124049187403E-2</v>
      </c>
    </row>
    <row r="35" spans="1:3" x14ac:dyDescent="0.25">
      <c r="A35">
        <v>11</v>
      </c>
      <c r="B35">
        <v>-9.4161690744250202E-3</v>
      </c>
      <c r="C35">
        <v>-6.3483830925574997E-2</v>
      </c>
    </row>
    <row r="36" spans="1:3" x14ac:dyDescent="0.25">
      <c r="A36">
        <v>12</v>
      </c>
      <c r="B36">
        <v>6.5513675165126501E-3</v>
      </c>
      <c r="C36">
        <v>4.2648632483487402E-2</v>
      </c>
    </row>
    <row r="37" spans="1:3" x14ac:dyDescent="0.25">
      <c r="A37">
        <v>13</v>
      </c>
      <c r="B37">
        <v>2.0972191161319601E-2</v>
      </c>
      <c r="C37">
        <v>-3.03721911613196E-2</v>
      </c>
    </row>
    <row r="38" spans="1:3" x14ac:dyDescent="0.25">
      <c r="A38">
        <v>14</v>
      </c>
      <c r="B38">
        <v>1.44668984761228E-2</v>
      </c>
      <c r="C38">
        <v>-1.7666898476122801E-2</v>
      </c>
    </row>
    <row r="39" spans="1:3" x14ac:dyDescent="0.25">
      <c r="A39">
        <v>15</v>
      </c>
      <c r="B39">
        <v>1.8288189284210402E-2</v>
      </c>
      <c r="C39">
        <v>1.0211810715789599E-2</v>
      </c>
    </row>
    <row r="40" spans="1:3" x14ac:dyDescent="0.25">
      <c r="A40">
        <v>16</v>
      </c>
      <c r="B40">
        <v>9.5993018515349408E-3</v>
      </c>
      <c r="C40">
        <v>-1.57993018515349E-2</v>
      </c>
    </row>
    <row r="41" spans="1:3" x14ac:dyDescent="0.25">
      <c r="A41">
        <v>17</v>
      </c>
      <c r="B41">
        <v>-4.6395555643154599E-3</v>
      </c>
      <c r="C41">
        <v>2.6339555564315501E-2</v>
      </c>
    </row>
    <row r="42" spans="1:3" x14ac:dyDescent="0.25">
      <c r="A42">
        <v>18</v>
      </c>
      <c r="B42">
        <v>1.7059917238753702E-2</v>
      </c>
      <c r="C42">
        <v>3.1440082761246303E-2</v>
      </c>
    </row>
    <row r="43" spans="1:3" x14ac:dyDescent="0.25">
      <c r="A43">
        <v>19</v>
      </c>
      <c r="B43">
        <v>1.08275738969917E-2</v>
      </c>
      <c r="C43">
        <v>1.5172426103008301E-2</v>
      </c>
    </row>
    <row r="44" spans="1:3" x14ac:dyDescent="0.25">
      <c r="A44">
        <v>20</v>
      </c>
      <c r="B44">
        <v>9.9632343094480501E-3</v>
      </c>
      <c r="C44">
        <v>1.33676569055195E-3</v>
      </c>
    </row>
    <row r="45" spans="1:3" x14ac:dyDescent="0.25">
      <c r="A45">
        <v>21</v>
      </c>
      <c r="B45">
        <v>4.1670849705127702E-2</v>
      </c>
      <c r="C45">
        <v>9.4829150294872294E-2</v>
      </c>
    </row>
    <row r="46" spans="1:3" x14ac:dyDescent="0.25">
      <c r="A46">
        <v>22</v>
      </c>
      <c r="B46">
        <v>4.9591630131428002E-3</v>
      </c>
      <c r="C46">
        <v>-2.4559163013142801E-2</v>
      </c>
    </row>
    <row r="47" spans="1:3" x14ac:dyDescent="0.25">
      <c r="A47">
        <v>23</v>
      </c>
      <c r="B47">
        <v>2.2473412550211201E-2</v>
      </c>
      <c r="C47">
        <v>-1.49734125502112E-2</v>
      </c>
    </row>
    <row r="48" spans="1:3" x14ac:dyDescent="0.25">
      <c r="A48">
        <v>24</v>
      </c>
      <c r="B48">
        <v>1.18283881562527E-2</v>
      </c>
      <c r="C48">
        <v>-2.4228388156252698E-2</v>
      </c>
    </row>
    <row r="49" spans="1:3" x14ac:dyDescent="0.25">
      <c r="A49">
        <v>25</v>
      </c>
      <c r="B49">
        <v>2.9575344946206998E-3</v>
      </c>
      <c r="C49">
        <v>-5.4575344946207003E-3</v>
      </c>
    </row>
    <row r="50" spans="1:3" x14ac:dyDescent="0.25">
      <c r="A50">
        <v>26</v>
      </c>
      <c r="B50">
        <v>9.6447934087740793E-3</v>
      </c>
      <c r="C50">
        <v>-7.1447934087740797E-3</v>
      </c>
    </row>
    <row r="51" spans="1:3" x14ac:dyDescent="0.25">
      <c r="A51">
        <v>27</v>
      </c>
      <c r="B51">
        <v>6.0054688296429896E-3</v>
      </c>
      <c r="C51">
        <v>-3.50546882964299E-3</v>
      </c>
    </row>
    <row r="52" spans="1:3" x14ac:dyDescent="0.25">
      <c r="A52">
        <v>28</v>
      </c>
      <c r="B52">
        <v>2.29283281226026E-2</v>
      </c>
      <c r="C52">
        <v>7.17167187739743E-3</v>
      </c>
    </row>
    <row r="53" spans="1:3" x14ac:dyDescent="0.25">
      <c r="A53">
        <v>29</v>
      </c>
      <c r="B53">
        <v>1.07365907825134E-2</v>
      </c>
      <c r="C53">
        <v>6.2634092174865897E-3</v>
      </c>
    </row>
    <row r="54" spans="1:3" x14ac:dyDescent="0.25">
      <c r="A54">
        <v>30</v>
      </c>
      <c r="B54">
        <v>4.27678965455572E-3</v>
      </c>
      <c r="C54">
        <v>2.4423210345444299E-2</v>
      </c>
    </row>
    <row r="55" spans="1:3" x14ac:dyDescent="0.25">
      <c r="A55">
        <v>31</v>
      </c>
      <c r="B55">
        <v>1.18336376229429E-3</v>
      </c>
      <c r="C55">
        <v>-1.18336376229429E-3</v>
      </c>
    </row>
    <row r="56" spans="1:3" x14ac:dyDescent="0.25">
      <c r="A56">
        <v>32</v>
      </c>
      <c r="B56">
        <v>-5.1854542511851299E-3</v>
      </c>
      <c r="C56">
        <v>-2.5014545748814902E-2</v>
      </c>
    </row>
    <row r="57" spans="1:3" x14ac:dyDescent="0.25">
      <c r="A57">
        <v>33</v>
      </c>
      <c r="B57">
        <v>-2.22850303064111E-3</v>
      </c>
      <c r="C57">
        <v>-1.45714969693589E-2</v>
      </c>
    </row>
    <row r="58" spans="1:3" x14ac:dyDescent="0.25">
      <c r="A58">
        <v>34</v>
      </c>
      <c r="B58">
        <v>1.9198020428993198E-2</v>
      </c>
      <c r="C58">
        <v>5.2019795710067998E-3</v>
      </c>
    </row>
    <row r="59" spans="1:3" x14ac:dyDescent="0.25">
      <c r="A59">
        <v>35</v>
      </c>
      <c r="B59">
        <v>6.0054688296429896E-3</v>
      </c>
      <c r="C59">
        <v>-2.2705468829643E-2</v>
      </c>
    </row>
    <row r="60" spans="1:3" x14ac:dyDescent="0.25">
      <c r="A60">
        <v>36</v>
      </c>
      <c r="B60">
        <v>-7.9149476855334498E-3</v>
      </c>
      <c r="C60">
        <v>-3.80850523144666E-2</v>
      </c>
    </row>
    <row r="61" spans="1:3" x14ac:dyDescent="0.25">
      <c r="A61">
        <v>37</v>
      </c>
      <c r="B61">
        <v>5.7780110434472896E-3</v>
      </c>
      <c r="C61">
        <v>-1.5978011043447302E-2</v>
      </c>
    </row>
    <row r="62" spans="1:3" x14ac:dyDescent="0.25">
      <c r="A62">
        <v>38</v>
      </c>
      <c r="B62">
        <v>-8.6428126013596597E-3</v>
      </c>
      <c r="C62">
        <v>1.1242812601359699E-2</v>
      </c>
    </row>
    <row r="63" spans="1:3" x14ac:dyDescent="0.25">
      <c r="A63">
        <v>39</v>
      </c>
      <c r="B63">
        <v>2.9575344946206998E-3</v>
      </c>
      <c r="C63">
        <v>6.0942465505379302E-2</v>
      </c>
    </row>
    <row r="64" spans="1:3" x14ac:dyDescent="0.25">
      <c r="A64">
        <v>40</v>
      </c>
      <c r="B64">
        <v>-2.1152990842122799E-2</v>
      </c>
      <c r="C64">
        <v>6.7529908421227998E-3</v>
      </c>
    </row>
    <row r="65" spans="1:3" x14ac:dyDescent="0.25">
      <c r="A65">
        <v>41</v>
      </c>
      <c r="B65">
        <v>1.9198020428993198E-2</v>
      </c>
      <c r="C65">
        <v>-5.3298020428993197E-2</v>
      </c>
    </row>
    <row r="66" spans="1:3" x14ac:dyDescent="0.25">
      <c r="A66">
        <v>42</v>
      </c>
      <c r="B66">
        <v>8.1435720198825001E-3</v>
      </c>
      <c r="C66">
        <v>1.45564279801175E-2</v>
      </c>
    </row>
    <row r="67" spans="1:3" x14ac:dyDescent="0.25">
      <c r="A67">
        <v>43</v>
      </c>
      <c r="B67">
        <v>7.5976733330128396E-3</v>
      </c>
      <c r="C67">
        <v>-1.0097673333012799E-2</v>
      </c>
    </row>
    <row r="68" spans="1:3" x14ac:dyDescent="0.25">
      <c r="A68">
        <v>44</v>
      </c>
      <c r="B68">
        <v>2.1927513863341502E-2</v>
      </c>
      <c r="C68">
        <v>-1.6927513863341501E-2</v>
      </c>
    </row>
    <row r="69" spans="1:3" x14ac:dyDescent="0.25">
      <c r="A69">
        <v>45</v>
      </c>
      <c r="B69">
        <v>-1.35891397640734E-4</v>
      </c>
      <c r="C69">
        <v>5.4335891397640702E-2</v>
      </c>
    </row>
    <row r="70" spans="1:3" x14ac:dyDescent="0.25">
      <c r="A70">
        <v>46</v>
      </c>
      <c r="B70">
        <v>2.4020125496341901E-2</v>
      </c>
      <c r="C70">
        <v>-3.1020125496341901E-2</v>
      </c>
    </row>
    <row r="71" spans="1:3" x14ac:dyDescent="0.25">
      <c r="A71">
        <v>47</v>
      </c>
      <c r="B71">
        <v>9.0988947219044092E-3</v>
      </c>
      <c r="C71">
        <v>4.7401105278095601E-2</v>
      </c>
    </row>
    <row r="72" spans="1:3" x14ac:dyDescent="0.25">
      <c r="A72">
        <v>48</v>
      </c>
      <c r="B72">
        <v>1.3830016674774801E-2</v>
      </c>
      <c r="C72">
        <v>3.7369983325225203E-2</v>
      </c>
    </row>
    <row r="73" spans="1:3" x14ac:dyDescent="0.25">
      <c r="A73">
        <v>49</v>
      </c>
      <c r="B73">
        <v>4.3222812117948498E-3</v>
      </c>
      <c r="C73">
        <v>-6.4222812117948501E-3</v>
      </c>
    </row>
    <row r="74" spans="1:3" x14ac:dyDescent="0.25">
      <c r="A74">
        <v>50</v>
      </c>
      <c r="B74">
        <v>1.1691913484535301E-2</v>
      </c>
      <c r="C74">
        <v>-3.1919134845353201E-3</v>
      </c>
    </row>
    <row r="75" spans="1:3" x14ac:dyDescent="0.25">
      <c r="A75">
        <v>51</v>
      </c>
      <c r="B75">
        <v>6.1419435013603998E-3</v>
      </c>
      <c r="C75">
        <v>-1.9419435013604E-3</v>
      </c>
    </row>
    <row r="76" spans="1:3" x14ac:dyDescent="0.25">
      <c r="A76">
        <v>52</v>
      </c>
      <c r="B76">
        <v>6.8698084171866201E-3</v>
      </c>
      <c r="C76">
        <v>-2.66980841718662E-3</v>
      </c>
    </row>
    <row r="77" spans="1:3" x14ac:dyDescent="0.25">
      <c r="A77" s="17">
        <v>53</v>
      </c>
      <c r="B77" s="17">
        <v>1.2601744629318099E-2</v>
      </c>
      <c r="C77" s="17">
        <v>1.03982553706819E-2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9"/>
  <sheetViews>
    <sheetView zoomScale="70" zoomScaleNormal="70" workbookViewId="0">
      <selection activeCell="B5" sqref="B5"/>
    </sheetView>
  </sheetViews>
  <sheetFormatPr defaultColWidth="9" defaultRowHeight="14.4" x14ac:dyDescent="0.25"/>
  <cols>
    <col min="4" max="4" width="12.44140625" customWidth="1"/>
    <col min="6" max="6" width="13" customWidth="1"/>
  </cols>
  <sheetData>
    <row r="1" spans="1:9" x14ac:dyDescent="0.25">
      <c r="A1" t="s">
        <v>4</v>
      </c>
    </row>
    <row r="3" spans="1:9" ht="15" x14ac:dyDescent="0.3">
      <c r="A3" s="15" t="s">
        <v>5</v>
      </c>
      <c r="B3" s="15"/>
    </row>
    <row r="4" spans="1:9" x14ac:dyDescent="0.25">
      <c r="A4" t="s">
        <v>6</v>
      </c>
      <c r="B4">
        <v>0.292356021275754</v>
      </c>
    </row>
    <row r="5" spans="1:9" ht="15" x14ac:dyDescent="0.3">
      <c r="A5" t="s">
        <v>7</v>
      </c>
      <c r="B5" s="16">
        <v>8.5472043176189297E-2</v>
      </c>
    </row>
    <row r="6" spans="1:9" x14ac:dyDescent="0.25">
      <c r="A6" t="s">
        <v>8</v>
      </c>
      <c r="B6">
        <v>7.6593130974016405E-2</v>
      </c>
    </row>
    <row r="7" spans="1:9" x14ac:dyDescent="0.25">
      <c r="A7" t="s">
        <v>9</v>
      </c>
      <c r="B7">
        <v>3.08042462400119E-2</v>
      </c>
    </row>
    <row r="8" spans="1:9" x14ac:dyDescent="0.25">
      <c r="A8" s="17" t="s">
        <v>10</v>
      </c>
      <c r="B8" s="17">
        <v>105</v>
      </c>
    </row>
    <row r="10" spans="1:9" x14ac:dyDescent="0.25">
      <c r="A10" t="s">
        <v>11</v>
      </c>
    </row>
    <row r="11" spans="1:9" ht="15" x14ac:dyDescent="0.3">
      <c r="A11" s="18"/>
      <c r="B11" s="18" t="s">
        <v>12</v>
      </c>
      <c r="C11" s="18" t="s">
        <v>13</v>
      </c>
      <c r="D11" s="18" t="s">
        <v>14</v>
      </c>
      <c r="E11" s="18" t="s">
        <v>15</v>
      </c>
      <c r="F11" s="18" t="s">
        <v>16</v>
      </c>
    </row>
    <row r="12" spans="1:9" x14ac:dyDescent="0.25">
      <c r="A12" t="s">
        <v>17</v>
      </c>
      <c r="B12">
        <v>1</v>
      </c>
      <c r="C12">
        <v>9.1345150754158205E-3</v>
      </c>
      <c r="D12">
        <v>9.1345150754158205E-3</v>
      </c>
      <c r="E12">
        <v>9.6264093201948597</v>
      </c>
      <c r="F12">
        <v>2.4756085243101398E-3</v>
      </c>
    </row>
    <row r="13" spans="1:9" x14ac:dyDescent="0.25">
      <c r="A13" t="s">
        <v>18</v>
      </c>
      <c r="B13">
        <v>103</v>
      </c>
      <c r="C13">
        <v>9.7736863400774698E-2</v>
      </c>
      <c r="D13">
        <v>9.4890158641528801E-4</v>
      </c>
    </row>
    <row r="14" spans="1:9" x14ac:dyDescent="0.25">
      <c r="A14" s="17" t="s">
        <v>19</v>
      </c>
      <c r="B14" s="17">
        <v>104</v>
      </c>
      <c r="C14" s="17">
        <v>0.10687137847619101</v>
      </c>
      <c r="D14" s="17"/>
      <c r="E14" s="17"/>
      <c r="F14" s="17"/>
    </row>
    <row r="16" spans="1:9" ht="15" x14ac:dyDescent="0.3">
      <c r="A16" s="18"/>
      <c r="B16" s="18" t="s">
        <v>20</v>
      </c>
      <c r="C16" s="18" t="s">
        <v>9</v>
      </c>
      <c r="D16" s="18" t="s">
        <v>21</v>
      </c>
      <c r="E16" s="18" t="s">
        <v>22</v>
      </c>
      <c r="F16" s="18" t="s">
        <v>23</v>
      </c>
      <c r="G16" s="18" t="s">
        <v>24</v>
      </c>
      <c r="H16" s="18" t="s">
        <v>25</v>
      </c>
      <c r="I16" s="18" t="s">
        <v>26</v>
      </c>
    </row>
    <row r="17" spans="1:9" x14ac:dyDescent="0.25">
      <c r="A17" t="s">
        <v>27</v>
      </c>
      <c r="B17">
        <v>7.28084278408589E-3</v>
      </c>
      <c r="C17">
        <v>3.0755622797255101E-3</v>
      </c>
      <c r="D17">
        <v>2.3673208740015199</v>
      </c>
      <c r="E17">
        <v>1.9785166538763901E-2</v>
      </c>
      <c r="F17">
        <v>1.18119038968857E-3</v>
      </c>
      <c r="G17">
        <v>1.33804951784832E-2</v>
      </c>
      <c r="H17">
        <v>1.18119038968857E-3</v>
      </c>
      <c r="I17">
        <v>1.33804951784832E-2</v>
      </c>
    </row>
    <row r="18" spans="1:9" ht="15" x14ac:dyDescent="0.3">
      <c r="A18" s="17" t="s">
        <v>28</v>
      </c>
      <c r="B18" s="19">
        <v>0.42723906252974198</v>
      </c>
      <c r="C18" s="17">
        <v>0.13770153812734701</v>
      </c>
      <c r="D18" s="17">
        <v>3.1026455356993101</v>
      </c>
      <c r="E18" s="17">
        <v>2.4756085243101498E-3</v>
      </c>
      <c r="F18" s="17">
        <v>0.154140539281619</v>
      </c>
      <c r="G18" s="17">
        <v>0.70033758577786598</v>
      </c>
      <c r="H18" s="17">
        <v>0.154140539281619</v>
      </c>
      <c r="I18" s="17">
        <v>0.70033758577786598</v>
      </c>
    </row>
    <row r="22" spans="1:9" x14ac:dyDescent="0.25">
      <c r="A22" t="s">
        <v>29</v>
      </c>
    </row>
    <row r="24" spans="1:9" ht="15" x14ac:dyDescent="0.3">
      <c r="A24" s="18" t="s">
        <v>30</v>
      </c>
      <c r="B24" s="18" t="s">
        <v>31</v>
      </c>
      <c r="C24" s="18" t="s">
        <v>32</v>
      </c>
    </row>
    <row r="25" spans="1:9" x14ac:dyDescent="0.25">
      <c r="A25">
        <v>1</v>
      </c>
      <c r="B25">
        <v>1.7235512941028899E-2</v>
      </c>
      <c r="C25">
        <v>2.7964487058971099E-2</v>
      </c>
    </row>
    <row r="26" spans="1:9" x14ac:dyDescent="0.25">
      <c r="A26">
        <v>2</v>
      </c>
      <c r="B26">
        <v>1.4885698097115299E-2</v>
      </c>
      <c r="C26">
        <v>-1.1785698097115299E-2</v>
      </c>
    </row>
    <row r="27" spans="1:9" x14ac:dyDescent="0.25">
      <c r="A27">
        <v>3</v>
      </c>
      <c r="B27">
        <v>1.19804724719131E-2</v>
      </c>
      <c r="C27">
        <v>-2.1180472471913101E-2</v>
      </c>
    </row>
    <row r="28" spans="1:9" x14ac:dyDescent="0.25">
      <c r="A28">
        <v>4</v>
      </c>
      <c r="B28">
        <v>2.3174135910192298E-2</v>
      </c>
      <c r="C28">
        <v>-7.2874135910192303E-2</v>
      </c>
    </row>
    <row r="29" spans="1:9" x14ac:dyDescent="0.25">
      <c r="A29">
        <v>5</v>
      </c>
      <c r="B29">
        <v>1.48429741908623E-2</v>
      </c>
      <c r="C29">
        <v>-1.7429741908623301E-3</v>
      </c>
    </row>
    <row r="30" spans="1:9" x14ac:dyDescent="0.25">
      <c r="A30">
        <v>6</v>
      </c>
      <c r="B30">
        <v>2.16360752850852E-2</v>
      </c>
      <c r="C30">
        <v>-3.7736075285085199E-2</v>
      </c>
    </row>
    <row r="31" spans="1:9" x14ac:dyDescent="0.25">
      <c r="A31">
        <v>7</v>
      </c>
      <c r="B31">
        <v>2.1123388410049501E-2</v>
      </c>
      <c r="C31">
        <v>-1.4233884100495399E-3</v>
      </c>
    </row>
    <row r="32" spans="1:9" x14ac:dyDescent="0.25">
      <c r="A32">
        <v>8</v>
      </c>
      <c r="B32">
        <v>1.13823377843714E-2</v>
      </c>
      <c r="C32">
        <v>7.9176622156285903E-3</v>
      </c>
    </row>
    <row r="33" spans="1:3" x14ac:dyDescent="0.25">
      <c r="A33">
        <v>9</v>
      </c>
      <c r="B33">
        <v>7.7935296591215798E-3</v>
      </c>
      <c r="C33">
        <v>-1.49352965912158E-3</v>
      </c>
    </row>
    <row r="34" spans="1:3" x14ac:dyDescent="0.25">
      <c r="A34">
        <v>10</v>
      </c>
      <c r="B34">
        <v>-1.5106484092472601E-2</v>
      </c>
      <c r="C34">
        <v>4.6406484092472597E-2</v>
      </c>
    </row>
    <row r="35" spans="1:3" x14ac:dyDescent="0.25">
      <c r="A35">
        <v>11</v>
      </c>
      <c r="B35">
        <v>-7.2880092481783197E-3</v>
      </c>
      <c r="C35">
        <v>-6.5611990751821697E-2</v>
      </c>
    </row>
    <row r="36" spans="1:3" x14ac:dyDescent="0.25">
      <c r="A36">
        <v>12</v>
      </c>
      <c r="B36">
        <v>7.7080818466156303E-3</v>
      </c>
      <c r="C36">
        <v>4.1491918153384398E-2</v>
      </c>
    </row>
    <row r="37" spans="1:3" x14ac:dyDescent="0.25">
      <c r="A37">
        <v>13</v>
      </c>
      <c r="B37">
        <v>2.1251560128808501E-2</v>
      </c>
      <c r="C37">
        <v>-3.06515601288085E-2</v>
      </c>
    </row>
    <row r="38" spans="1:3" x14ac:dyDescent="0.25">
      <c r="A38">
        <v>14</v>
      </c>
      <c r="B38">
        <v>1.51420415346331E-2</v>
      </c>
      <c r="C38">
        <v>-1.8342041534633102E-2</v>
      </c>
    </row>
    <row r="39" spans="1:3" x14ac:dyDescent="0.25">
      <c r="A39">
        <v>15</v>
      </c>
      <c r="B39">
        <v>1.8730849659883E-2</v>
      </c>
      <c r="C39">
        <v>9.7691503401170204E-3</v>
      </c>
    </row>
    <row r="40" spans="1:3" x14ac:dyDescent="0.25">
      <c r="A40">
        <v>16</v>
      </c>
      <c r="B40">
        <v>1.05705835655649E-2</v>
      </c>
      <c r="C40">
        <v>-1.6770583565564899E-2</v>
      </c>
    </row>
    <row r="41" spans="1:3" x14ac:dyDescent="0.25">
      <c r="A41">
        <v>17</v>
      </c>
      <c r="B41">
        <v>-2.8019990916160302E-3</v>
      </c>
      <c r="C41">
        <v>2.4501999091616E-2</v>
      </c>
    </row>
    <row r="42" spans="1:3" x14ac:dyDescent="0.25">
      <c r="A42">
        <v>18</v>
      </c>
      <c r="B42">
        <v>1.75773041910527E-2</v>
      </c>
      <c r="C42">
        <v>3.0922695808947302E-2</v>
      </c>
    </row>
    <row r="43" spans="1:3" x14ac:dyDescent="0.25">
      <c r="A43">
        <v>19</v>
      </c>
      <c r="B43">
        <v>1.17241290343952E-2</v>
      </c>
      <c r="C43">
        <v>1.4275870965604801E-2</v>
      </c>
    </row>
    <row r="44" spans="1:3" x14ac:dyDescent="0.25">
      <c r="A44">
        <v>20</v>
      </c>
      <c r="B44">
        <v>1.09123748155887E-2</v>
      </c>
      <c r="C44">
        <v>3.8762518441129998E-4</v>
      </c>
    </row>
    <row r="45" spans="1:3" x14ac:dyDescent="0.25">
      <c r="A45">
        <v>21</v>
      </c>
      <c r="B45">
        <v>4.0690937473911698E-2</v>
      </c>
      <c r="C45">
        <v>9.5809062526088298E-2</v>
      </c>
    </row>
    <row r="46" spans="1:3" x14ac:dyDescent="0.25">
      <c r="A46">
        <v>22</v>
      </c>
      <c r="B46">
        <v>6.2127451277615301E-3</v>
      </c>
      <c r="C46">
        <v>-2.5812745127761501E-2</v>
      </c>
    </row>
    <row r="47" spans="1:3" x14ac:dyDescent="0.25">
      <c r="A47">
        <v>23</v>
      </c>
      <c r="B47">
        <v>2.26614490351566E-2</v>
      </c>
      <c r="C47">
        <v>-1.51614490351566E-2</v>
      </c>
    </row>
    <row r="48" spans="1:3" x14ac:dyDescent="0.25">
      <c r="A48">
        <v>24</v>
      </c>
      <c r="B48">
        <v>1.26640549719606E-2</v>
      </c>
      <c r="C48">
        <v>-2.5064054971960601E-2</v>
      </c>
    </row>
    <row r="49" spans="1:3" x14ac:dyDescent="0.25">
      <c r="A49">
        <v>25</v>
      </c>
      <c r="B49">
        <v>4.3328932526306698E-3</v>
      </c>
      <c r="C49">
        <v>-6.8328932526306703E-3</v>
      </c>
    </row>
    <row r="50" spans="1:3" x14ac:dyDescent="0.25">
      <c r="A50">
        <v>26</v>
      </c>
      <c r="B50">
        <v>1.06133074718179E-2</v>
      </c>
      <c r="C50">
        <v>-8.1133074718178801E-3</v>
      </c>
    </row>
    <row r="51" spans="1:3" x14ac:dyDescent="0.25">
      <c r="A51">
        <v>27</v>
      </c>
      <c r="B51">
        <v>7.1953949715799397E-3</v>
      </c>
      <c r="C51">
        <v>-4.6953949715799401E-3</v>
      </c>
    </row>
    <row r="52" spans="1:3" x14ac:dyDescent="0.25">
      <c r="A52">
        <v>28</v>
      </c>
      <c r="B52">
        <v>2.30886880976863E-2</v>
      </c>
      <c r="C52">
        <v>7.0113119023136501E-3</v>
      </c>
    </row>
    <row r="53" spans="1:3" x14ac:dyDescent="0.25">
      <c r="A53">
        <v>29</v>
      </c>
      <c r="B53">
        <v>1.16386812218893E-2</v>
      </c>
      <c r="C53">
        <v>5.3613187781107402E-3</v>
      </c>
    </row>
    <row r="54" spans="1:3" x14ac:dyDescent="0.25">
      <c r="A54">
        <v>30</v>
      </c>
      <c r="B54">
        <v>5.57188653396692E-3</v>
      </c>
      <c r="C54">
        <v>2.31281134660331E-2</v>
      </c>
    </row>
    <row r="55" spans="1:3" x14ac:dyDescent="0.25">
      <c r="A55">
        <v>31</v>
      </c>
      <c r="B55">
        <v>2.6666609087646698E-3</v>
      </c>
      <c r="C55">
        <v>-2.6666609087646698E-3</v>
      </c>
    </row>
    <row r="56" spans="1:3" x14ac:dyDescent="0.25">
      <c r="A56">
        <v>32</v>
      </c>
      <c r="B56">
        <v>-3.31468596665172E-3</v>
      </c>
      <c r="C56">
        <v>-2.68853140333483E-2</v>
      </c>
    </row>
    <row r="57" spans="1:3" x14ac:dyDescent="0.25">
      <c r="A57">
        <v>33</v>
      </c>
      <c r="B57">
        <v>-5.3763206020839298E-4</v>
      </c>
      <c r="C57">
        <v>-1.6262367939791599E-2</v>
      </c>
    </row>
    <row r="58" spans="1:3" x14ac:dyDescent="0.25">
      <c r="A58">
        <v>34</v>
      </c>
      <c r="B58">
        <v>1.9585327784942499E-2</v>
      </c>
      <c r="C58">
        <v>4.8146722150575402E-3</v>
      </c>
    </row>
    <row r="59" spans="1:3" x14ac:dyDescent="0.25">
      <c r="A59">
        <v>35</v>
      </c>
      <c r="B59">
        <v>7.1953949715799397E-3</v>
      </c>
      <c r="C59">
        <v>-2.38953949715799E-2</v>
      </c>
    </row>
    <row r="60" spans="1:3" x14ac:dyDescent="0.25">
      <c r="A60">
        <v>36</v>
      </c>
      <c r="B60">
        <v>-5.8781203418301698E-3</v>
      </c>
      <c r="C60">
        <v>-4.0121879658169803E-2</v>
      </c>
    </row>
    <row r="61" spans="1:3" x14ac:dyDescent="0.25">
      <c r="A61">
        <v>37</v>
      </c>
      <c r="B61">
        <v>6.98177544031507E-3</v>
      </c>
      <c r="C61">
        <v>-1.71817754403151E-2</v>
      </c>
    </row>
    <row r="62" spans="1:3" x14ac:dyDescent="0.25">
      <c r="A62">
        <v>38</v>
      </c>
      <c r="B62">
        <v>-6.5617028418777602E-3</v>
      </c>
      <c r="C62">
        <v>9.1617028418777592E-3</v>
      </c>
    </row>
    <row r="63" spans="1:3" x14ac:dyDescent="0.25">
      <c r="A63">
        <v>39</v>
      </c>
      <c r="B63">
        <v>4.3328932526306698E-3</v>
      </c>
      <c r="C63">
        <v>5.95671067473693E-2</v>
      </c>
    </row>
    <row r="64" spans="1:3" x14ac:dyDescent="0.25">
      <c r="A64">
        <v>40</v>
      </c>
      <c r="B64">
        <v>-1.83107770614457E-2</v>
      </c>
      <c r="C64">
        <v>3.9107770614456704E-3</v>
      </c>
    </row>
    <row r="65" spans="1:3" x14ac:dyDescent="0.25">
      <c r="A65">
        <v>41</v>
      </c>
      <c r="B65">
        <v>1.9585327784942499E-2</v>
      </c>
      <c r="C65">
        <v>-5.3685327784942498E-2</v>
      </c>
    </row>
    <row r="66" spans="1:3" x14ac:dyDescent="0.25">
      <c r="A66">
        <v>42</v>
      </c>
      <c r="B66">
        <v>9.2034185654697297E-3</v>
      </c>
      <c r="C66">
        <v>1.3496581434530299E-2</v>
      </c>
    </row>
    <row r="67" spans="1:3" x14ac:dyDescent="0.25">
      <c r="A67">
        <v>43</v>
      </c>
      <c r="B67">
        <v>8.69073169043404E-3</v>
      </c>
      <c r="C67">
        <v>-1.1190731690434001E-2</v>
      </c>
    </row>
    <row r="68" spans="1:3" x14ac:dyDescent="0.25">
      <c r="A68">
        <v>44</v>
      </c>
      <c r="B68">
        <v>2.2148762160120902E-2</v>
      </c>
      <c r="C68">
        <v>-1.7148762160120901E-2</v>
      </c>
    </row>
    <row r="69" spans="1:3" x14ac:dyDescent="0.25">
      <c r="A69">
        <v>45</v>
      </c>
      <c r="B69">
        <v>1.4276676274284201E-3</v>
      </c>
      <c r="C69">
        <v>5.2772332372571597E-2</v>
      </c>
    </row>
    <row r="70" spans="1:3" x14ac:dyDescent="0.25">
      <c r="A70">
        <v>46</v>
      </c>
      <c r="B70">
        <v>2.41140618477577E-2</v>
      </c>
      <c r="C70">
        <v>-3.1114061847757699E-2</v>
      </c>
    </row>
    <row r="71" spans="1:3" x14ac:dyDescent="0.25">
      <c r="A71">
        <v>47</v>
      </c>
      <c r="B71">
        <v>1.0100620596782199E-2</v>
      </c>
      <c r="C71">
        <v>4.6399379403217797E-2</v>
      </c>
    </row>
    <row r="72" spans="1:3" x14ac:dyDescent="0.25">
      <c r="A72">
        <v>48</v>
      </c>
      <c r="B72">
        <v>1.45439068470915E-2</v>
      </c>
      <c r="C72">
        <v>3.6656093152908499E-2</v>
      </c>
    </row>
    <row r="73" spans="1:3" x14ac:dyDescent="0.25">
      <c r="A73">
        <v>49</v>
      </c>
      <c r="B73">
        <v>5.6146104402199004E-3</v>
      </c>
      <c r="C73">
        <v>-7.7146104402198998E-3</v>
      </c>
    </row>
    <row r="74" spans="1:3" x14ac:dyDescent="0.25">
      <c r="A74">
        <v>50</v>
      </c>
      <c r="B74">
        <v>1.25358832532017E-2</v>
      </c>
      <c r="C74">
        <v>-4.0358832532017197E-3</v>
      </c>
    </row>
    <row r="75" spans="1:3" x14ac:dyDescent="0.25">
      <c r="A75">
        <v>51</v>
      </c>
      <c r="B75">
        <v>7.32356669033886E-3</v>
      </c>
      <c r="C75">
        <v>-3.1235666903388598E-3</v>
      </c>
    </row>
    <row r="76" spans="1:3" x14ac:dyDescent="0.25">
      <c r="A76">
        <v>52</v>
      </c>
      <c r="B76">
        <v>8.0071491903864495E-3</v>
      </c>
      <c r="C76">
        <v>-3.8071491903864498E-3</v>
      </c>
    </row>
    <row r="77" spans="1:3" x14ac:dyDescent="0.25">
      <c r="A77">
        <v>53</v>
      </c>
      <c r="B77">
        <v>1.33903613782612E-2</v>
      </c>
      <c r="C77">
        <v>9.6096386217387995E-3</v>
      </c>
    </row>
    <row r="78" spans="1:3" x14ac:dyDescent="0.25">
      <c r="A78">
        <v>54</v>
      </c>
      <c r="B78">
        <v>2.0610701535013799E-2</v>
      </c>
      <c r="C78">
        <v>-1.24107015350138E-2</v>
      </c>
    </row>
    <row r="79" spans="1:3" x14ac:dyDescent="0.25">
      <c r="A79">
        <v>55</v>
      </c>
      <c r="B79">
        <v>3.3075195025592898E-3</v>
      </c>
      <c r="C79">
        <v>6.9248049744071198E-4</v>
      </c>
    </row>
    <row r="80" spans="1:3" x14ac:dyDescent="0.25">
      <c r="A80">
        <v>56</v>
      </c>
      <c r="B80">
        <v>1.39457721595499E-2</v>
      </c>
      <c r="C80">
        <v>-1.79457721595499E-2</v>
      </c>
    </row>
    <row r="81" spans="1:3" x14ac:dyDescent="0.25">
      <c r="A81">
        <v>57</v>
      </c>
      <c r="B81">
        <v>1.48429741908623E-2</v>
      </c>
      <c r="C81">
        <v>-1.28429741908623E-2</v>
      </c>
    </row>
    <row r="82" spans="1:3" x14ac:dyDescent="0.25">
      <c r="A82">
        <v>58</v>
      </c>
      <c r="B82">
        <v>1.22368159094309E-2</v>
      </c>
      <c r="C82">
        <v>-1.22368159094309E-2</v>
      </c>
    </row>
    <row r="83" spans="1:3" x14ac:dyDescent="0.25">
      <c r="A83">
        <v>59</v>
      </c>
      <c r="B83">
        <v>8.6052838779280896E-3</v>
      </c>
      <c r="C83">
        <v>-8.6052838779280896E-3</v>
      </c>
    </row>
    <row r="84" spans="1:3" x14ac:dyDescent="0.25">
      <c r="A84">
        <v>60</v>
      </c>
      <c r="B84">
        <v>9.7161054405054195E-3</v>
      </c>
      <c r="C84">
        <v>5.5983894559494603E-2</v>
      </c>
    </row>
    <row r="85" spans="1:3" x14ac:dyDescent="0.25">
      <c r="A85">
        <v>61</v>
      </c>
      <c r="B85">
        <v>1.0143344503035201E-2</v>
      </c>
      <c r="C85">
        <v>1.8256655496964799E-2</v>
      </c>
    </row>
    <row r="86" spans="1:3" x14ac:dyDescent="0.25">
      <c r="A86">
        <v>62</v>
      </c>
      <c r="B86">
        <v>8.5625599716751197E-3</v>
      </c>
      <c r="C86">
        <v>6.3744002832488396E-4</v>
      </c>
    </row>
    <row r="87" spans="1:3" x14ac:dyDescent="0.25">
      <c r="A87">
        <v>63</v>
      </c>
      <c r="B87">
        <v>5.7855060652317897E-3</v>
      </c>
      <c r="C87">
        <v>9.0114493934768197E-2</v>
      </c>
    </row>
    <row r="88" spans="1:3" x14ac:dyDescent="0.25">
      <c r="A88">
        <v>64</v>
      </c>
      <c r="B88">
        <v>8.2207687216513201E-3</v>
      </c>
      <c r="C88">
        <v>-2.4920768721651301E-2</v>
      </c>
    </row>
    <row r="89" spans="1:3" x14ac:dyDescent="0.25">
      <c r="A89">
        <v>65</v>
      </c>
      <c r="B89">
        <v>6.4263646590264102E-3</v>
      </c>
      <c r="C89">
        <v>-1.49263646590264E-2</v>
      </c>
    </row>
    <row r="90" spans="1:3" x14ac:dyDescent="0.25">
      <c r="A90">
        <v>66</v>
      </c>
      <c r="B90">
        <v>-4.3827836229760704E-3</v>
      </c>
      <c r="C90">
        <v>-6.40172163770239E-2</v>
      </c>
    </row>
    <row r="91" spans="1:3" x14ac:dyDescent="0.25">
      <c r="A91">
        <v>67</v>
      </c>
      <c r="B91">
        <v>1.25786071594547E-2</v>
      </c>
      <c r="C91">
        <v>2.4121392840545298E-2</v>
      </c>
    </row>
    <row r="92" spans="1:3" x14ac:dyDescent="0.25">
      <c r="A92">
        <v>68</v>
      </c>
      <c r="B92">
        <v>4.8455801276663596E-3</v>
      </c>
      <c r="C92">
        <v>-1.3645580127666399E-2</v>
      </c>
    </row>
    <row r="93" spans="1:3" x14ac:dyDescent="0.25">
      <c r="A93">
        <v>69</v>
      </c>
      <c r="B93">
        <v>2.64211527854183E-2</v>
      </c>
      <c r="C93">
        <v>-4.8721152785418297E-2</v>
      </c>
    </row>
    <row r="94" spans="1:3" x14ac:dyDescent="0.25">
      <c r="A94">
        <v>70</v>
      </c>
      <c r="B94">
        <v>6.4690885652793802E-3</v>
      </c>
      <c r="C94">
        <v>-3.8469088565279398E-2</v>
      </c>
    </row>
    <row r="95" spans="1:3" x14ac:dyDescent="0.25">
      <c r="A95">
        <v>71</v>
      </c>
      <c r="B95">
        <v>1.6637378253487201E-2</v>
      </c>
      <c r="C95">
        <v>-1.19373782534872E-2</v>
      </c>
    </row>
    <row r="96" spans="1:3" x14ac:dyDescent="0.25">
      <c r="A96">
        <v>72</v>
      </c>
      <c r="B96">
        <v>9.1179707529637794E-3</v>
      </c>
      <c r="C96">
        <v>2.37820292470362E-2</v>
      </c>
    </row>
    <row r="97" spans="1:3" x14ac:dyDescent="0.25">
      <c r="A97">
        <v>73</v>
      </c>
      <c r="B97">
        <v>3.6065868463301099E-3</v>
      </c>
      <c r="C97">
        <v>2.36934131536699E-2</v>
      </c>
    </row>
    <row r="98" spans="1:3" x14ac:dyDescent="0.25">
      <c r="A98">
        <v>74</v>
      </c>
      <c r="B98">
        <v>-5.9635681543361201E-3</v>
      </c>
      <c r="C98">
        <v>-7.3364318456638801E-3</v>
      </c>
    </row>
    <row r="99" spans="1:3" x14ac:dyDescent="0.25">
      <c r="A99">
        <v>75</v>
      </c>
      <c r="B99">
        <v>1.51847654408861E-2</v>
      </c>
      <c r="C99">
        <v>-2.8684765440886099E-2</v>
      </c>
    </row>
    <row r="100" spans="1:3" x14ac:dyDescent="0.25">
      <c r="A100">
        <v>76</v>
      </c>
      <c r="B100">
        <v>-7.8006961232140104E-3</v>
      </c>
      <c r="C100">
        <v>-3.7699303876786001E-2</v>
      </c>
    </row>
    <row r="101" spans="1:3" x14ac:dyDescent="0.25">
      <c r="A101">
        <v>77</v>
      </c>
      <c r="B101">
        <v>1.2493159346948699E-2</v>
      </c>
      <c r="C101">
        <v>1.8068406530512601E-3</v>
      </c>
    </row>
    <row r="102" spans="1:3" x14ac:dyDescent="0.25">
      <c r="A102">
        <v>78</v>
      </c>
      <c r="B102">
        <v>1.34221981492247E-3</v>
      </c>
      <c r="C102">
        <v>6.4357780185077498E-2</v>
      </c>
    </row>
    <row r="103" spans="1:3" x14ac:dyDescent="0.25">
      <c r="A103">
        <v>79</v>
      </c>
      <c r="B103">
        <v>1.83036105973532E-2</v>
      </c>
      <c r="C103">
        <v>3.6963894026467601E-3</v>
      </c>
    </row>
    <row r="104" spans="1:3" x14ac:dyDescent="0.25">
      <c r="A104">
        <v>80</v>
      </c>
      <c r="B104">
        <v>1.07842030968298E-2</v>
      </c>
      <c r="C104">
        <v>-1.93842030968298E-2</v>
      </c>
    </row>
    <row r="105" spans="1:3" x14ac:dyDescent="0.25">
      <c r="A105">
        <v>81</v>
      </c>
      <c r="B105">
        <v>1.0826927003082701E-2</v>
      </c>
      <c r="C105">
        <v>-1.95269270030827E-2</v>
      </c>
    </row>
    <row r="106" spans="1:3" x14ac:dyDescent="0.25">
      <c r="A106">
        <v>82</v>
      </c>
      <c r="B106">
        <v>8.69073169043404E-3</v>
      </c>
      <c r="C106">
        <v>4.50926830956596E-3</v>
      </c>
    </row>
    <row r="107" spans="1:3" x14ac:dyDescent="0.25">
      <c r="A107">
        <v>83</v>
      </c>
      <c r="B107">
        <v>-3.8700967479403802E-3</v>
      </c>
      <c r="C107">
        <v>-3.9429903252059598E-2</v>
      </c>
    </row>
    <row r="108" spans="1:3" x14ac:dyDescent="0.25">
      <c r="A108">
        <v>84</v>
      </c>
      <c r="B108">
        <v>-6.9462179981545297E-3</v>
      </c>
      <c r="C108">
        <v>3.86462179981545E-2</v>
      </c>
    </row>
    <row r="109" spans="1:3" x14ac:dyDescent="0.25">
      <c r="A109">
        <v>85</v>
      </c>
      <c r="B109">
        <v>2.2276933878879801E-2</v>
      </c>
      <c r="C109">
        <v>3.03230661211202E-2</v>
      </c>
    </row>
    <row r="110" spans="1:3" x14ac:dyDescent="0.25">
      <c r="A110">
        <v>86</v>
      </c>
      <c r="B110">
        <v>7.4944623153507597E-3</v>
      </c>
      <c r="C110">
        <v>1.75055376846492E-2</v>
      </c>
    </row>
    <row r="111" spans="1:3" x14ac:dyDescent="0.25">
      <c r="A111">
        <v>87</v>
      </c>
      <c r="B111">
        <v>6.8536037215561497E-3</v>
      </c>
      <c r="C111">
        <v>-1.4953603721556101E-2</v>
      </c>
    </row>
    <row r="112" spans="1:3" x14ac:dyDescent="0.25">
      <c r="A112">
        <v>88</v>
      </c>
      <c r="B112">
        <v>1.0826927003082701E-2</v>
      </c>
      <c r="C112">
        <v>1.4730729969172501E-3</v>
      </c>
    </row>
    <row r="113" spans="1:3" x14ac:dyDescent="0.25">
      <c r="A113">
        <v>89</v>
      </c>
      <c r="B113">
        <v>1.8867434609216901E-4</v>
      </c>
      <c r="C113">
        <v>3.8113256539078302E-3</v>
      </c>
    </row>
    <row r="114" spans="1:3" x14ac:dyDescent="0.25">
      <c r="A114">
        <v>90</v>
      </c>
      <c r="B114">
        <v>9.0752468467108095E-3</v>
      </c>
      <c r="C114">
        <v>4.7424753153289201E-2</v>
      </c>
    </row>
    <row r="115" spans="1:3" x14ac:dyDescent="0.25">
      <c r="A115">
        <v>91</v>
      </c>
      <c r="B115">
        <v>2.0311634191242999E-2</v>
      </c>
      <c r="C115">
        <v>6.3883658087569703E-3</v>
      </c>
    </row>
    <row r="116" spans="1:3" x14ac:dyDescent="0.25">
      <c r="A116">
        <v>92</v>
      </c>
      <c r="B116">
        <v>-1.6911775290387001E-3</v>
      </c>
      <c r="C116">
        <v>-2.4308822470961299E-2</v>
      </c>
    </row>
    <row r="117" spans="1:3" x14ac:dyDescent="0.25">
      <c r="A117">
        <v>93</v>
      </c>
      <c r="B117">
        <v>1.00042856489868E-3</v>
      </c>
      <c r="C117">
        <v>6.5995714351013198E-3</v>
      </c>
    </row>
    <row r="118" spans="1:3" x14ac:dyDescent="0.25">
      <c r="A118">
        <v>94</v>
      </c>
      <c r="B118">
        <v>1.5355661065898E-2</v>
      </c>
      <c r="C118">
        <v>-1.9155661065898E-2</v>
      </c>
    </row>
    <row r="119" spans="1:3" x14ac:dyDescent="0.25">
      <c r="A119">
        <v>95</v>
      </c>
      <c r="B119">
        <v>-8.4842786232615999E-3</v>
      </c>
      <c r="C119">
        <v>6.92842786232616E-2</v>
      </c>
    </row>
    <row r="120" spans="1:3" x14ac:dyDescent="0.25">
      <c r="A120">
        <v>96</v>
      </c>
      <c r="B120">
        <v>7.3662905965918403E-3</v>
      </c>
      <c r="C120">
        <v>-3.2466290596591799E-2</v>
      </c>
    </row>
    <row r="121" spans="1:3" x14ac:dyDescent="0.25">
      <c r="A121">
        <v>97</v>
      </c>
      <c r="B121">
        <v>1.42448395033207E-2</v>
      </c>
      <c r="C121">
        <v>2.25551604966793E-2</v>
      </c>
    </row>
    <row r="122" spans="1:3" x14ac:dyDescent="0.25">
      <c r="A122">
        <v>98</v>
      </c>
      <c r="B122">
        <v>4.4610649713895901E-3</v>
      </c>
      <c r="C122">
        <v>1.6838935028610402E-2</v>
      </c>
    </row>
    <row r="123" spans="1:3" x14ac:dyDescent="0.25">
      <c r="A123">
        <v>99</v>
      </c>
      <c r="B123">
        <v>6.5972602840382996E-3</v>
      </c>
      <c r="C123">
        <v>-1.34972602840383E-2</v>
      </c>
    </row>
    <row r="124" spans="1:3" x14ac:dyDescent="0.25">
      <c r="A124">
        <v>100</v>
      </c>
      <c r="B124">
        <v>4.8028562214133897E-3</v>
      </c>
      <c r="C124">
        <v>-4.8028562214133897E-3</v>
      </c>
    </row>
    <row r="125" spans="1:3" x14ac:dyDescent="0.25">
      <c r="A125">
        <v>101</v>
      </c>
      <c r="B125">
        <v>2.65920484104302E-2</v>
      </c>
      <c r="C125">
        <v>3.9807951589569797E-2</v>
      </c>
    </row>
    <row r="126" spans="1:3" x14ac:dyDescent="0.25">
      <c r="A126">
        <v>102</v>
      </c>
      <c r="B126">
        <v>1.1040546534347599E-2</v>
      </c>
      <c r="C126">
        <v>-1.43405465343476E-2</v>
      </c>
    </row>
    <row r="127" spans="1:3" x14ac:dyDescent="0.25">
      <c r="A127">
        <v>103</v>
      </c>
      <c r="B127">
        <v>2.4103174712468301E-3</v>
      </c>
      <c r="C127">
        <v>7.4896825287531698E-3</v>
      </c>
    </row>
    <row r="128" spans="1:3" x14ac:dyDescent="0.25">
      <c r="A128">
        <v>104</v>
      </c>
      <c r="B128">
        <v>8.7334555966870099E-3</v>
      </c>
      <c r="C128">
        <v>-3.1533455596687E-2</v>
      </c>
    </row>
    <row r="129" spans="1:3" x14ac:dyDescent="0.25">
      <c r="A129" s="17">
        <v>105</v>
      </c>
      <c r="B129" s="17">
        <v>1.5911071847186702E-2</v>
      </c>
      <c r="C129" s="17">
        <v>2.0788928152813298E-2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41"/>
  <sheetViews>
    <sheetView tabSelected="1" topLeftCell="F14" zoomScale="89" zoomScaleNormal="85" workbookViewId="0">
      <selection activeCell="N12" sqref="N12"/>
    </sheetView>
  </sheetViews>
  <sheetFormatPr defaultColWidth="8.88671875" defaultRowHeight="13.8" x14ac:dyDescent="0.25"/>
  <cols>
    <col min="1" max="1" width="39.77734375" style="1" customWidth="1"/>
    <col min="2" max="2" width="17.21875" style="1" bestFit="1" customWidth="1"/>
    <col min="3" max="6" width="17" style="1" bestFit="1" customWidth="1"/>
    <col min="7" max="7" width="8.88671875" style="1"/>
    <col min="8" max="8" width="61.44140625" style="1" bestFit="1" customWidth="1"/>
    <col min="9" max="10" width="17.44140625" style="1" bestFit="1" customWidth="1"/>
    <col min="11" max="13" width="17.6640625" style="1" bestFit="1" customWidth="1"/>
    <col min="14" max="16384" width="8.88671875" style="1"/>
  </cols>
  <sheetData>
    <row r="1" spans="1:13" ht="15" thickBot="1" x14ac:dyDescent="0.35">
      <c r="A1" s="2" t="s">
        <v>94</v>
      </c>
      <c r="B1" s="3">
        <v>2020</v>
      </c>
      <c r="C1" s="3">
        <v>2021</v>
      </c>
      <c r="D1" s="3">
        <v>2022</v>
      </c>
      <c r="E1" s="3">
        <v>2023</v>
      </c>
      <c r="F1" s="4">
        <v>2024</v>
      </c>
      <c r="H1" s="54" t="s">
        <v>95</v>
      </c>
      <c r="I1" s="55" t="s">
        <v>73</v>
      </c>
      <c r="J1" s="55" t="s">
        <v>74</v>
      </c>
      <c r="K1" s="55" t="s">
        <v>75</v>
      </c>
      <c r="L1" s="55" t="s">
        <v>76</v>
      </c>
      <c r="M1" s="56" t="s">
        <v>77</v>
      </c>
    </row>
    <row r="2" spans="1:13" ht="15" thickBot="1" x14ac:dyDescent="0.35">
      <c r="A2" s="5" t="s">
        <v>33</v>
      </c>
      <c r="B2" s="6"/>
      <c r="C2" s="6"/>
      <c r="D2" s="6"/>
      <c r="E2" s="6"/>
      <c r="F2" s="7"/>
      <c r="H2" s="43" t="s">
        <v>78</v>
      </c>
      <c r="I2" s="44">
        <v>125982880</v>
      </c>
      <c r="J2" s="44">
        <v>134599699</v>
      </c>
      <c r="K2" s="45">
        <v>17188386</v>
      </c>
      <c r="L2" s="44">
        <v>216329611</v>
      </c>
      <c r="M2" s="46">
        <v>256401956</v>
      </c>
    </row>
    <row r="3" spans="1:13" ht="15" thickBot="1" x14ac:dyDescent="0.35">
      <c r="A3" s="5" t="s">
        <v>34</v>
      </c>
      <c r="B3" s="6"/>
      <c r="C3" s="6"/>
      <c r="D3" s="6"/>
      <c r="E3" s="6"/>
      <c r="F3" s="7"/>
      <c r="H3" s="49" t="s">
        <v>79</v>
      </c>
      <c r="I3" s="28">
        <v>-85552940</v>
      </c>
      <c r="J3" s="28">
        <v>-93430745</v>
      </c>
      <c r="K3" s="28">
        <v>-140421046</v>
      </c>
      <c r="L3" s="28">
        <v>-143864302</v>
      </c>
      <c r="M3" s="51">
        <v>-180271900</v>
      </c>
    </row>
    <row r="4" spans="1:13" ht="15" thickBot="1" x14ac:dyDescent="0.35">
      <c r="A4" s="8" t="s">
        <v>35</v>
      </c>
      <c r="B4" s="29">
        <v>64807728</v>
      </c>
      <c r="C4" s="29">
        <v>71097784</v>
      </c>
      <c r="D4" s="29">
        <v>73879559</v>
      </c>
      <c r="E4" s="29">
        <v>82007851</v>
      </c>
      <c r="F4" s="30">
        <v>102405163</v>
      </c>
      <c r="H4" s="43" t="s">
        <v>80</v>
      </c>
      <c r="I4" s="44">
        <v>40429940</v>
      </c>
      <c r="J4" s="44">
        <v>41168954</v>
      </c>
      <c r="K4" s="45">
        <v>31462040</v>
      </c>
      <c r="L4" s="44">
        <v>72465309</v>
      </c>
      <c r="M4" s="46">
        <v>76130056</v>
      </c>
    </row>
    <row r="5" spans="1:13" ht="14.4" x14ac:dyDescent="0.3">
      <c r="A5" s="9" t="s">
        <v>36</v>
      </c>
      <c r="B5" s="31">
        <v>114654</v>
      </c>
      <c r="C5" s="31">
        <v>631097</v>
      </c>
      <c r="D5" s="31">
        <v>520111</v>
      </c>
      <c r="E5" s="31">
        <v>588763</v>
      </c>
      <c r="F5" s="32">
        <v>464472</v>
      </c>
      <c r="H5" s="49" t="s">
        <v>81</v>
      </c>
      <c r="I5" s="28">
        <v>-18849973</v>
      </c>
      <c r="J5" s="28">
        <v>-21304569</v>
      </c>
      <c r="K5" s="50">
        <v>-24396871</v>
      </c>
      <c r="L5" s="28">
        <v>-28245330</v>
      </c>
      <c r="M5" s="51">
        <v>-34084214</v>
      </c>
    </row>
    <row r="6" spans="1:13" ht="14.4" x14ac:dyDescent="0.3">
      <c r="A6" s="9" t="s">
        <v>37</v>
      </c>
      <c r="B6" s="31">
        <v>10082</v>
      </c>
      <c r="C6" s="31">
        <v>10082</v>
      </c>
      <c r="D6" s="31">
        <v>10082</v>
      </c>
      <c r="E6" s="31">
        <v>10082</v>
      </c>
      <c r="F6" s="32">
        <v>10082</v>
      </c>
      <c r="H6" s="49" t="s">
        <v>82</v>
      </c>
      <c r="I6" s="28">
        <v>-3571098</v>
      </c>
      <c r="J6" s="28">
        <v>-3669936</v>
      </c>
      <c r="K6" s="50">
        <v>-3722968</v>
      </c>
      <c r="L6" s="28">
        <v>-4545412</v>
      </c>
      <c r="M6" s="51">
        <v>-5178820</v>
      </c>
    </row>
    <row r="7" spans="1:13" ht="14.4" x14ac:dyDescent="0.3">
      <c r="A7" s="9" t="s">
        <v>38</v>
      </c>
      <c r="B7" s="31">
        <v>386380</v>
      </c>
      <c r="C7" s="31">
        <v>299894</v>
      </c>
      <c r="D7" s="31">
        <v>185147</v>
      </c>
      <c r="E7" s="31">
        <v>193614</v>
      </c>
      <c r="F7" s="32">
        <v>298206</v>
      </c>
      <c r="H7" s="49" t="s">
        <v>83</v>
      </c>
      <c r="I7" s="28">
        <v>-295440</v>
      </c>
      <c r="J7" s="28">
        <v>-300955</v>
      </c>
      <c r="K7" s="50">
        <v>-380279</v>
      </c>
      <c r="L7" s="28">
        <v>-455026</v>
      </c>
      <c r="M7" s="51">
        <v>-500740</v>
      </c>
    </row>
    <row r="8" spans="1:13" ht="14.4" x14ac:dyDescent="0.3">
      <c r="A8" s="9" t="s">
        <v>39</v>
      </c>
      <c r="B8" s="31">
        <v>46106</v>
      </c>
      <c r="C8" s="31">
        <v>36173</v>
      </c>
      <c r="D8" s="31">
        <v>181735</v>
      </c>
      <c r="E8" s="31">
        <v>169743</v>
      </c>
      <c r="F8" s="32">
        <v>169795</v>
      </c>
      <c r="H8" s="49" t="s">
        <v>84</v>
      </c>
      <c r="I8" s="28">
        <v>739551</v>
      </c>
      <c r="J8" s="28">
        <v>648521</v>
      </c>
      <c r="K8" s="50">
        <v>812691</v>
      </c>
      <c r="L8" s="28">
        <v>770724</v>
      </c>
      <c r="M8" s="51">
        <v>934592</v>
      </c>
    </row>
    <row r="9" spans="1:13" ht="15" thickBot="1" x14ac:dyDescent="0.35">
      <c r="A9" s="10" t="s">
        <v>40</v>
      </c>
      <c r="B9" s="33">
        <v>65364950</v>
      </c>
      <c r="C9" s="33">
        <v>72075030</v>
      </c>
      <c r="D9" s="33">
        <v>74776634</v>
      </c>
      <c r="E9" s="33">
        <v>82970053</v>
      </c>
      <c r="F9" s="34">
        <v>103347718</v>
      </c>
      <c r="H9" s="49" t="s">
        <v>85</v>
      </c>
      <c r="I9" s="28">
        <v>154606</v>
      </c>
      <c r="J9" s="28">
        <v>123872</v>
      </c>
      <c r="K9" s="50">
        <v>253020</v>
      </c>
      <c r="L9" s="28">
        <v>287387</v>
      </c>
      <c r="M9" s="51">
        <v>-51094</v>
      </c>
    </row>
    <row r="10" spans="1:13" ht="15" thickBot="1" x14ac:dyDescent="0.35">
      <c r="A10" s="5" t="s">
        <v>41</v>
      </c>
      <c r="B10" s="35"/>
      <c r="C10" s="35"/>
      <c r="D10" s="35"/>
      <c r="E10" s="35"/>
      <c r="F10" s="36"/>
      <c r="H10" s="43" t="s">
        <v>86</v>
      </c>
      <c r="I10" s="44">
        <v>18607586</v>
      </c>
      <c r="J10" s="44">
        <v>16665887</v>
      </c>
      <c r="K10" s="45">
        <v>4027632</v>
      </c>
      <c r="L10" s="44">
        <v>40277652</v>
      </c>
      <c r="M10" s="46">
        <v>37249781</v>
      </c>
    </row>
    <row r="11" spans="1:13" ht="15" thickBot="1" x14ac:dyDescent="0.35">
      <c r="A11" s="8" t="s">
        <v>42</v>
      </c>
      <c r="B11" s="29">
        <v>14024192</v>
      </c>
      <c r="C11" s="29">
        <v>11871809</v>
      </c>
      <c r="D11" s="29">
        <v>15290030</v>
      </c>
      <c r="E11" s="29">
        <v>17288601</v>
      </c>
      <c r="F11" s="30">
        <v>24784204</v>
      </c>
      <c r="H11" s="52" t="s">
        <v>100</v>
      </c>
      <c r="I11" s="50">
        <v>4125198</v>
      </c>
      <c r="J11" s="50">
        <v>4702107</v>
      </c>
      <c r="K11" s="50">
        <v>5238273</v>
      </c>
      <c r="L11" s="50">
        <v>5230234</v>
      </c>
      <c r="M11" s="53">
        <v>5730182</v>
      </c>
    </row>
    <row r="12" spans="1:13" ht="15" thickBot="1" x14ac:dyDescent="0.35">
      <c r="A12" s="9" t="s">
        <v>43</v>
      </c>
      <c r="B12" s="31">
        <v>24249201</v>
      </c>
      <c r="C12" s="31">
        <v>23047706</v>
      </c>
      <c r="D12" s="31">
        <v>28690740</v>
      </c>
      <c r="E12" s="31">
        <v>26917831</v>
      </c>
      <c r="F12" s="32">
        <v>32760609</v>
      </c>
      <c r="H12" s="43" t="s">
        <v>101</v>
      </c>
      <c r="I12" s="44">
        <f>I10+I11</f>
        <v>22732784</v>
      </c>
      <c r="J12" s="44">
        <f t="shared" ref="J12:M12" si="0">J10+J11</f>
        <v>21367994</v>
      </c>
      <c r="K12" s="44">
        <f t="shared" si="0"/>
        <v>9265905</v>
      </c>
      <c r="L12" s="44">
        <f t="shared" si="0"/>
        <v>45507886</v>
      </c>
      <c r="M12" s="46">
        <f t="shared" si="0"/>
        <v>42979963</v>
      </c>
    </row>
    <row r="13" spans="1:13" ht="14.4" x14ac:dyDescent="0.3">
      <c r="A13" s="9" t="s">
        <v>44</v>
      </c>
      <c r="B13" s="31">
        <v>1430104</v>
      </c>
      <c r="C13" s="31">
        <v>0</v>
      </c>
      <c r="D13" s="31">
        <v>2110152</v>
      </c>
      <c r="E13" s="31">
        <v>0</v>
      </c>
      <c r="F13" s="32"/>
      <c r="H13" s="49" t="s">
        <v>87</v>
      </c>
      <c r="I13" s="28">
        <v>125150</v>
      </c>
      <c r="J13" s="28">
        <v>171652</v>
      </c>
      <c r="K13" s="50">
        <v>94898</v>
      </c>
      <c r="L13" s="28">
        <v>453541</v>
      </c>
      <c r="M13" s="51">
        <v>611764</v>
      </c>
    </row>
    <row r="14" spans="1:13" ht="14.4" x14ac:dyDescent="0.3">
      <c r="A14" s="9" t="s">
        <v>45</v>
      </c>
      <c r="B14" s="31">
        <v>301852</v>
      </c>
      <c r="C14" s="31">
        <v>0</v>
      </c>
      <c r="D14" s="31">
        <v>0</v>
      </c>
      <c r="E14" s="31">
        <v>3984840</v>
      </c>
      <c r="F14" s="32">
        <v>0</v>
      </c>
      <c r="H14" s="49" t="s">
        <v>88</v>
      </c>
      <c r="I14" s="28">
        <v>-283974</v>
      </c>
      <c r="J14" s="28">
        <v>-278205</v>
      </c>
      <c r="K14" s="50">
        <v>-263526</v>
      </c>
      <c r="L14" s="28">
        <v>-401343</v>
      </c>
      <c r="M14" s="51">
        <v>-266888</v>
      </c>
    </row>
    <row r="15" spans="1:13" ht="14.4" x14ac:dyDescent="0.3">
      <c r="A15" s="9" t="s">
        <v>46</v>
      </c>
      <c r="B15" s="31"/>
      <c r="C15" s="31">
        <v>2230000</v>
      </c>
      <c r="D15" s="31">
        <v>0</v>
      </c>
      <c r="E15" s="31">
        <v>7600000</v>
      </c>
      <c r="F15" s="32">
        <v>150000</v>
      </c>
      <c r="H15" s="49" t="s">
        <v>89</v>
      </c>
      <c r="I15" s="28">
        <v>-26752</v>
      </c>
      <c r="J15" s="28">
        <v>-29729</v>
      </c>
      <c r="K15" s="50">
        <v>-26358</v>
      </c>
      <c r="L15" s="28">
        <v>-28826</v>
      </c>
      <c r="M15" s="51">
        <v>-28524</v>
      </c>
    </row>
    <row r="16" spans="1:13" ht="15" thickBot="1" x14ac:dyDescent="0.35">
      <c r="A16" s="9" t="s">
        <v>47</v>
      </c>
      <c r="B16" s="31">
        <v>9737271</v>
      </c>
      <c r="C16" s="31">
        <v>10749735</v>
      </c>
      <c r="D16" s="31">
        <v>7221288</v>
      </c>
      <c r="E16" s="31">
        <v>21735612</v>
      </c>
      <c r="F16" s="32">
        <v>16995156</v>
      </c>
      <c r="H16" s="49" t="s">
        <v>90</v>
      </c>
      <c r="I16" s="28">
        <v>-185576</v>
      </c>
      <c r="J16" s="28">
        <v>-136283</v>
      </c>
      <c r="K16" s="50">
        <v>-194985</v>
      </c>
      <c r="L16" s="28">
        <v>23373</v>
      </c>
      <c r="M16" s="51">
        <v>316353</v>
      </c>
    </row>
    <row r="17" spans="1:13" ht="15" thickBot="1" x14ac:dyDescent="0.35">
      <c r="A17" s="10" t="s">
        <v>48</v>
      </c>
      <c r="B17" s="33">
        <v>49742620</v>
      </c>
      <c r="C17" s="33">
        <v>47899250</v>
      </c>
      <c r="D17" s="33">
        <v>53321210</v>
      </c>
      <c r="E17" s="33">
        <v>77526884</v>
      </c>
      <c r="F17" s="34">
        <v>74689969</v>
      </c>
      <c r="H17" s="43" t="s">
        <v>91</v>
      </c>
      <c r="I17" s="44">
        <v>18422010</v>
      </c>
      <c r="J17" s="44">
        <v>16529604</v>
      </c>
      <c r="K17" s="45">
        <v>3832647</v>
      </c>
      <c r="L17" s="44">
        <v>40301025</v>
      </c>
      <c r="M17" s="46">
        <v>37566134</v>
      </c>
    </row>
    <row r="18" spans="1:13" ht="15" thickBot="1" x14ac:dyDescent="0.35">
      <c r="A18" s="11" t="s">
        <v>49</v>
      </c>
      <c r="B18" s="37">
        <v>115407570</v>
      </c>
      <c r="C18" s="37">
        <v>119974280</v>
      </c>
      <c r="D18" s="37">
        <v>128097844</v>
      </c>
      <c r="E18" s="37">
        <v>160496937</v>
      </c>
      <c r="F18" s="38">
        <v>178037686</v>
      </c>
      <c r="H18" s="49" t="s">
        <v>92</v>
      </c>
      <c r="I18" s="28">
        <v>-2559398</v>
      </c>
      <c r="J18" s="28">
        <v>-3319914</v>
      </c>
      <c r="K18" s="50">
        <v>-657646</v>
      </c>
      <c r="L18" s="28">
        <v>-8031805</v>
      </c>
      <c r="M18" s="51">
        <v>-3019115</v>
      </c>
    </row>
    <row r="19" spans="1:13" ht="15" thickBot="1" x14ac:dyDescent="0.35">
      <c r="A19" s="5" t="s">
        <v>50</v>
      </c>
      <c r="B19" s="35"/>
      <c r="C19" s="35"/>
      <c r="D19" s="35"/>
      <c r="E19" s="35"/>
      <c r="F19" s="36"/>
      <c r="H19" s="43" t="s">
        <v>93</v>
      </c>
      <c r="I19" s="44">
        <v>15862612</v>
      </c>
      <c r="J19" s="44">
        <v>13209690</v>
      </c>
      <c r="K19" s="45">
        <v>3175001</v>
      </c>
      <c r="L19" s="44">
        <v>32269220</v>
      </c>
      <c r="M19" s="46">
        <v>34547018</v>
      </c>
    </row>
    <row r="20" spans="1:13" ht="15" thickBot="1" x14ac:dyDescent="0.35">
      <c r="A20" s="12" t="s">
        <v>51</v>
      </c>
      <c r="B20" s="29"/>
      <c r="C20" s="29"/>
      <c r="D20" s="29"/>
      <c r="E20" s="29"/>
      <c r="F20" s="30"/>
      <c r="H20" s="26"/>
      <c r="I20" s="25"/>
      <c r="J20" s="25"/>
      <c r="K20" s="27"/>
      <c r="L20" s="25"/>
      <c r="M20" s="25"/>
    </row>
    <row r="21" spans="1:13" ht="15" thickBot="1" x14ac:dyDescent="0.35">
      <c r="A21" s="9" t="s">
        <v>52</v>
      </c>
      <c r="B21" s="31">
        <v>12564752</v>
      </c>
      <c r="C21" s="31">
        <v>12564752</v>
      </c>
      <c r="D21" s="31">
        <v>12564752</v>
      </c>
      <c r="E21" s="31">
        <v>12564752</v>
      </c>
      <c r="F21" s="32">
        <v>12564752</v>
      </c>
      <c r="H21" s="66" t="s">
        <v>104</v>
      </c>
      <c r="I21" s="67"/>
      <c r="J21" s="67"/>
      <c r="K21" s="67"/>
      <c r="L21" s="67"/>
      <c r="M21" s="68"/>
    </row>
    <row r="22" spans="1:13" ht="15" thickBot="1" x14ac:dyDescent="0.35">
      <c r="A22" s="9" t="s">
        <v>53</v>
      </c>
      <c r="B22" s="31">
        <v>22437778</v>
      </c>
      <c r="C22" s="31">
        <v>24551367</v>
      </c>
      <c r="D22" s="31">
        <v>24686060</v>
      </c>
      <c r="E22" s="31">
        <v>35687373</v>
      </c>
      <c r="F22" s="32">
        <v>38802072</v>
      </c>
      <c r="H22" s="43" t="s">
        <v>105</v>
      </c>
      <c r="I22" s="69"/>
      <c r="J22" s="69"/>
      <c r="K22" s="67"/>
      <c r="L22" s="69"/>
      <c r="M22" s="70"/>
    </row>
    <row r="23" spans="1:13" ht="14.4" x14ac:dyDescent="0.3">
      <c r="A23" s="9" t="s">
        <v>54</v>
      </c>
      <c r="B23" s="31"/>
      <c r="C23" s="31">
        <v>-60897</v>
      </c>
      <c r="D23" s="31">
        <v>-541306</v>
      </c>
      <c r="E23" s="31">
        <v>-455051</v>
      </c>
      <c r="F23" s="32">
        <v>-898702</v>
      </c>
      <c r="H23" s="71" t="s">
        <v>106</v>
      </c>
      <c r="I23" s="72">
        <f>I19/B25</f>
        <v>0.20904039939276514</v>
      </c>
      <c r="J23" s="72">
        <f>J19/C25</f>
        <v>0.15947767842617794</v>
      </c>
      <c r="K23" s="72">
        <f>K19/D25</f>
        <v>4.0239742607676446E-2</v>
      </c>
      <c r="L23" s="72">
        <f>L19/E25</f>
        <v>0.30820854652680924</v>
      </c>
      <c r="M23" s="73">
        <f t="shared" ref="J23:M23" si="1">M19/F25</f>
        <v>0.27105484302733962</v>
      </c>
    </row>
    <row r="24" spans="1:13" ht="15" thickBot="1" x14ac:dyDescent="0.35">
      <c r="A24" s="13" t="s">
        <v>55</v>
      </c>
      <c r="B24" s="39">
        <v>41014778</v>
      </c>
      <c r="C24" s="39">
        <v>45775743</v>
      </c>
      <c r="D24" s="39">
        <v>42192614</v>
      </c>
      <c r="E24" s="39">
        <v>56902229</v>
      </c>
      <c r="F24" s="40">
        <v>76985856</v>
      </c>
      <c r="H24" s="60" t="s">
        <v>107</v>
      </c>
      <c r="I24" s="58">
        <f>I19/B18</f>
        <v>0.13744862663688354</v>
      </c>
      <c r="J24" s="58">
        <f t="shared" ref="J24:M24" si="2">J19/C18</f>
        <v>0.11010434903214256</v>
      </c>
      <c r="K24" s="58">
        <f t="shared" si="2"/>
        <v>2.4785748931106133E-2</v>
      </c>
      <c r="L24" s="58">
        <f t="shared" si="2"/>
        <v>0.20105816723468062</v>
      </c>
      <c r="M24" s="59">
        <f t="shared" si="2"/>
        <v>0.19404328811597787</v>
      </c>
    </row>
    <row r="25" spans="1:13" ht="15" thickBot="1" x14ac:dyDescent="0.35">
      <c r="A25" s="5" t="s">
        <v>56</v>
      </c>
      <c r="B25" s="41">
        <v>75882997</v>
      </c>
      <c r="C25" s="41">
        <v>82830965</v>
      </c>
      <c r="D25" s="41">
        <v>78902120</v>
      </c>
      <c r="E25" s="41">
        <v>104699303</v>
      </c>
      <c r="F25" s="42">
        <v>127453978</v>
      </c>
      <c r="H25" s="74" t="s">
        <v>108</v>
      </c>
      <c r="I25" s="75">
        <f>I10/(B18-B39)</f>
        <v>0.19561145482349757</v>
      </c>
      <c r="J25" s="75">
        <f t="shared" ref="J25:M25" si="3">J10/(C18-C39)</f>
        <v>0.16714850144826243</v>
      </c>
      <c r="K25" s="75">
        <f t="shared" si="3"/>
        <v>4.1904672725087827E-2</v>
      </c>
      <c r="L25" s="75">
        <f t="shared" si="3"/>
        <v>0.3191412046588743</v>
      </c>
      <c r="M25" s="76">
        <f t="shared" si="3"/>
        <v>0.25963096987025869</v>
      </c>
    </row>
    <row r="26" spans="1:13" ht="15" thickBot="1" x14ac:dyDescent="0.35">
      <c r="A26" s="12" t="s">
        <v>57</v>
      </c>
      <c r="B26" s="29"/>
      <c r="C26" s="29"/>
      <c r="D26" s="29"/>
      <c r="E26" s="29"/>
      <c r="F26" s="30"/>
      <c r="H26" s="43" t="s">
        <v>109</v>
      </c>
      <c r="I26" s="69"/>
      <c r="J26" s="69"/>
      <c r="K26" s="67"/>
      <c r="L26" s="69"/>
      <c r="M26" s="70"/>
    </row>
    <row r="27" spans="1:13" ht="14.4" x14ac:dyDescent="0.3">
      <c r="A27" s="14" t="s">
        <v>58</v>
      </c>
      <c r="B27" s="31"/>
      <c r="C27" s="31"/>
      <c r="D27" s="31"/>
      <c r="E27" s="31"/>
      <c r="F27" s="32"/>
      <c r="H27" s="71" t="s">
        <v>110</v>
      </c>
      <c r="I27" s="77">
        <f>(B28+B29+B35+B36-B16)/I12</f>
        <v>7.142851487085787E-2</v>
      </c>
      <c r="J27" s="77">
        <f t="shared" ref="J27:M27" si="4">(C28+C29+C35+C36-C16)/J12</f>
        <v>-6.62948520109094E-2</v>
      </c>
      <c r="K27" s="77">
        <f t="shared" si="4"/>
        <v>0.86560082366482283</v>
      </c>
      <c r="L27" s="77">
        <f t="shared" si="4"/>
        <v>-0.20244706598764003</v>
      </c>
      <c r="M27" s="78">
        <f t="shared" si="4"/>
        <v>-0.28386062128531847</v>
      </c>
    </row>
    <row r="28" spans="1:13" x14ac:dyDescent="0.25">
      <c r="A28" s="9" t="s">
        <v>59</v>
      </c>
      <c r="B28" s="31">
        <v>8680000</v>
      </c>
      <c r="C28" s="31">
        <v>6430000</v>
      </c>
      <c r="D28" s="31">
        <v>6750000</v>
      </c>
      <c r="E28" s="31">
        <v>10230000</v>
      </c>
      <c r="F28" s="32">
        <v>4299924</v>
      </c>
      <c r="H28" s="60" t="s">
        <v>111</v>
      </c>
      <c r="I28" s="61">
        <f>(B29+B28+B35+B36)/B25</f>
        <v>0.14971786103809262</v>
      </c>
      <c r="J28" s="61">
        <f t="shared" ref="J28:M28" si="5">(C29+C28+C35+C36)/C25</f>
        <v>0.11267702845185976</v>
      </c>
      <c r="K28" s="61">
        <f t="shared" si="5"/>
        <v>0.19317431521485101</v>
      </c>
      <c r="L28" s="61">
        <f t="shared" si="5"/>
        <v>0.11960608754004791</v>
      </c>
      <c r="M28" s="62">
        <f t="shared" si="5"/>
        <v>3.7620143955020377E-2</v>
      </c>
    </row>
    <row r="29" spans="1:13" ht="14.4" thickBot="1" x14ac:dyDescent="0.3">
      <c r="A29" s="9" t="s">
        <v>60</v>
      </c>
      <c r="B29" s="31">
        <v>243413</v>
      </c>
      <c r="C29" s="31">
        <v>428068</v>
      </c>
      <c r="D29" s="31">
        <v>355857</v>
      </c>
      <c r="E29" s="31">
        <v>376253</v>
      </c>
      <c r="F29" s="32">
        <v>280218</v>
      </c>
      <c r="H29" s="63" t="s">
        <v>112</v>
      </c>
      <c r="I29" s="64">
        <f>-(I14+I15)/I19</f>
        <v>1.9588577215404374E-2</v>
      </c>
      <c r="J29" s="64">
        <f t="shared" ref="J29:M29" si="6">-(J14+J15)/J19</f>
        <v>2.3311220778080333E-2</v>
      </c>
      <c r="K29" s="64">
        <f t="shared" si="6"/>
        <v>9.1302018487553233E-2</v>
      </c>
      <c r="L29" s="64">
        <f t="shared" si="6"/>
        <v>1.333062900187857E-2</v>
      </c>
      <c r="M29" s="65">
        <f t="shared" si="6"/>
        <v>8.5510129991537911E-3</v>
      </c>
    </row>
    <row r="30" spans="1:13" x14ac:dyDescent="0.25">
      <c r="A30" s="9" t="s">
        <v>61</v>
      </c>
      <c r="B30" s="31">
        <v>604307</v>
      </c>
      <c r="C30" s="31">
        <v>285270</v>
      </c>
      <c r="D30" s="31">
        <v>304149</v>
      </c>
      <c r="E30" s="31">
        <v>376429</v>
      </c>
      <c r="F30" s="32">
        <v>476541</v>
      </c>
    </row>
    <row r="31" spans="1:13" x14ac:dyDescent="0.25">
      <c r="A31" s="9" t="s">
        <v>62</v>
      </c>
      <c r="B31" s="31">
        <v>3382217</v>
      </c>
      <c r="C31" s="31">
        <v>3805295</v>
      </c>
      <c r="D31" s="31">
        <v>4277489</v>
      </c>
      <c r="E31" s="31">
        <v>5384001</v>
      </c>
      <c r="F31" s="32">
        <v>6201601</v>
      </c>
    </row>
    <row r="32" spans="1:13" ht="14.4" thickBot="1" x14ac:dyDescent="0.3">
      <c r="A32" s="13" t="s">
        <v>63</v>
      </c>
      <c r="B32" s="39">
        <v>6322303</v>
      </c>
      <c r="C32" s="39">
        <v>5927470</v>
      </c>
      <c r="D32" s="39">
        <v>5524536</v>
      </c>
      <c r="E32" s="39">
        <v>5140381</v>
      </c>
      <c r="F32" s="40">
        <v>4759763</v>
      </c>
    </row>
    <row r="33" spans="1:6" ht="14.4" thickBot="1" x14ac:dyDescent="0.3">
      <c r="A33" s="5" t="s">
        <v>64</v>
      </c>
      <c r="B33" s="41">
        <v>19242240</v>
      </c>
      <c r="C33" s="41">
        <v>16876103</v>
      </c>
      <c r="D33" s="41">
        <v>17212031</v>
      </c>
      <c r="E33" s="41">
        <v>21507064</v>
      </c>
      <c r="F33" s="42">
        <v>16018047</v>
      </c>
    </row>
    <row r="34" spans="1:6" x14ac:dyDescent="0.25">
      <c r="A34" s="12" t="s">
        <v>65</v>
      </c>
      <c r="B34" s="29"/>
      <c r="C34" s="29"/>
      <c r="D34" s="29"/>
      <c r="E34" s="29"/>
      <c r="F34" s="30"/>
    </row>
    <row r="35" spans="1:6" x14ac:dyDescent="0.25">
      <c r="A35" s="9" t="s">
        <v>66</v>
      </c>
      <c r="B35" s="31">
        <v>2249837</v>
      </c>
      <c r="C35" s="31">
        <v>2250628</v>
      </c>
      <c r="D35" s="31">
        <v>7945948</v>
      </c>
      <c r="E35" s="31">
        <v>1674236</v>
      </c>
      <c r="F35" s="32">
        <v>0</v>
      </c>
    </row>
    <row r="36" spans="1:6" x14ac:dyDescent="0.25">
      <c r="A36" s="9" t="s">
        <v>67</v>
      </c>
      <c r="B36" s="31">
        <v>187790</v>
      </c>
      <c r="C36" s="31">
        <v>224451</v>
      </c>
      <c r="D36" s="31">
        <v>190058</v>
      </c>
      <c r="E36" s="31">
        <v>242185</v>
      </c>
      <c r="F36" s="32">
        <v>214695</v>
      </c>
    </row>
    <row r="37" spans="1:6" x14ac:dyDescent="0.25">
      <c r="A37" s="9" t="s">
        <v>68</v>
      </c>
      <c r="B37" s="31">
        <v>17844706</v>
      </c>
      <c r="C37" s="31">
        <v>17345408</v>
      </c>
      <c r="D37" s="31">
        <v>23847688</v>
      </c>
      <c r="E37" s="31">
        <v>25743242</v>
      </c>
      <c r="F37" s="32">
        <v>33699877</v>
      </c>
    </row>
    <row r="38" spans="1:6" ht="14.4" thickBot="1" x14ac:dyDescent="0.3">
      <c r="A38" s="13" t="s">
        <v>69</v>
      </c>
      <c r="B38" s="39">
        <v>0</v>
      </c>
      <c r="C38" s="39">
        <v>446725</v>
      </c>
      <c r="D38" s="39">
        <v>0</v>
      </c>
      <c r="E38" s="39">
        <v>6630907</v>
      </c>
      <c r="F38" s="40">
        <v>651089</v>
      </c>
    </row>
    <row r="39" spans="1:6" ht="14.4" thickBot="1" x14ac:dyDescent="0.3">
      <c r="A39" s="5" t="s">
        <v>70</v>
      </c>
      <c r="B39" s="41">
        <v>20282333</v>
      </c>
      <c r="C39" s="41">
        <v>20267212</v>
      </c>
      <c r="D39" s="41">
        <v>31983694</v>
      </c>
      <c r="E39" s="41">
        <v>34290570</v>
      </c>
      <c r="F39" s="42">
        <v>34565661</v>
      </c>
    </row>
    <row r="40" spans="1:6" ht="14.4" thickBot="1" x14ac:dyDescent="0.3">
      <c r="A40" s="5" t="s">
        <v>71</v>
      </c>
      <c r="B40" s="41">
        <v>39524573</v>
      </c>
      <c r="C40" s="41">
        <v>37143315</v>
      </c>
      <c r="D40" s="41">
        <v>49195725</v>
      </c>
      <c r="E40" s="41">
        <v>55797634</v>
      </c>
      <c r="F40" s="42">
        <v>50583708</v>
      </c>
    </row>
    <row r="41" spans="1:6" ht="14.4" thickBot="1" x14ac:dyDescent="0.3">
      <c r="A41" s="11" t="s">
        <v>72</v>
      </c>
      <c r="B41" s="37">
        <v>115407570</v>
      </c>
      <c r="C41" s="37">
        <v>119974280</v>
      </c>
      <c r="D41" s="37">
        <v>128097844</v>
      </c>
      <c r="E41" s="37">
        <v>160496937</v>
      </c>
      <c r="F41" s="38">
        <v>178037686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selection activeCell="C2" sqref="C2"/>
    </sheetView>
  </sheetViews>
  <sheetFormatPr defaultColWidth="9" defaultRowHeight="14.4" x14ac:dyDescent="0.25"/>
  <cols>
    <col min="2" max="2" width="20.21875" bestFit="1" customWidth="1"/>
    <col min="3" max="3" width="48.88671875" customWidth="1"/>
  </cols>
  <sheetData>
    <row r="1" spans="1:3" ht="15" x14ac:dyDescent="0.3">
      <c r="A1" s="57" t="s">
        <v>96</v>
      </c>
      <c r="B1" s="57"/>
      <c r="C1" s="57"/>
    </row>
    <row r="2" spans="1:3" ht="15" x14ac:dyDescent="0.3">
      <c r="A2" s="27" t="s">
        <v>97</v>
      </c>
      <c r="B2" s="22">
        <v>3.5000000000000003E-2</v>
      </c>
    </row>
    <row r="3" spans="1:3" ht="15" x14ac:dyDescent="0.3">
      <c r="A3" s="27" t="s">
        <v>98</v>
      </c>
      <c r="B3" s="22">
        <v>9.5000000000000001E-2</v>
      </c>
    </row>
    <row r="4" spans="1:3" ht="15" x14ac:dyDescent="0.3">
      <c r="A4" s="27" t="s">
        <v>99</v>
      </c>
      <c r="B4" s="48">
        <v>0.55484875380077003</v>
      </c>
    </row>
    <row r="5" spans="1:3" ht="15" x14ac:dyDescent="0.3">
      <c r="A5" s="27" t="s">
        <v>102</v>
      </c>
      <c r="B5" s="47">
        <f>B2+B4*B3</f>
        <v>8.7710631611073148E-2</v>
      </c>
    </row>
    <row r="7" spans="1:3" ht="15" x14ac:dyDescent="0.3">
      <c r="A7" s="27" t="s">
        <v>103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Kri-Kri Milk Stock Price Histor</vt:lpstr>
      <vt:lpstr>Beta 5 Year</vt:lpstr>
      <vt:lpstr>Beta 2020</vt:lpstr>
      <vt:lpstr>Beta 2021</vt:lpstr>
      <vt:lpstr>Beta 2022</vt:lpstr>
      <vt:lpstr>Beta 2023</vt:lpstr>
      <vt:lpstr>Beta 2024</vt:lpstr>
      <vt:lpstr>Ισολογισμοί + KAX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Konstantinos Koutsompinas</cp:lastModifiedBy>
  <dcterms:created xsi:type="dcterms:W3CDTF">2025-12-19T14:09:00Z</dcterms:created>
  <dcterms:modified xsi:type="dcterms:W3CDTF">2025-12-20T19:14:38Z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2AD3471B844C4AFCA170C51F80515A51_12</vt:lpwstr>
  </property>
  <property fmtid="{D5CDD505-2E9C-101B-9397-08002B2CF9AE}" pid="3" name="KSOProductBuildVer">
    <vt:lpwstr>1033-12.2.0.23196</vt:lpwstr>
  </property>
</Properties>
</file>
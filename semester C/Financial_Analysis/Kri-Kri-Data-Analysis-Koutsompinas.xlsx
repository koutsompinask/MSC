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Developer\MSC\semester C\Financial_Analysis\"/>
    </mc:Choice>
  </mc:AlternateContent>
  <xr:revisionPtr revIDLastSave="0" documentId="13_ncr:1_{94514941-F58A-4FBD-80A5-2E3877DA1028}" xr6:coauthVersionLast="47" xr6:coauthVersionMax="47" xr10:uidLastSave="{00000000-0000-0000-0000-000000000000}"/>
  <bookViews>
    <workbookView xWindow="-108" yWindow="-108" windowWidth="23256" windowHeight="12456" tabRatio="837" firstSheet="7" activeTab="8" xr2:uid="{00000000-000D-0000-FFFF-FFFF00000000}"/>
  </bookViews>
  <sheets>
    <sheet name="Kri-Kri Milk Stock Price Histor" sheetId="1" r:id="rId1"/>
    <sheet name="Beta 5-Year" sheetId="12" r:id="rId2"/>
    <sheet name="Beta 2020" sheetId="3" state="hidden" r:id="rId3"/>
    <sheet name="Beta 2021" sheetId="4" state="hidden" r:id="rId4"/>
    <sheet name="Beta 2022" sheetId="5" state="hidden" r:id="rId5"/>
    <sheet name="Beta 2023" sheetId="6" state="hidden" r:id="rId6"/>
    <sheet name="Beta 2024" sheetId="7" state="hidden" r:id="rId7"/>
    <sheet name="Beta 2025" sheetId="13" r:id="rId8"/>
    <sheet name="WACC" sheetId="10" r:id="rId9"/>
    <sheet name="Ισολογισμοί + KAX" sheetId="9" r:id="rId10"/>
    <sheet name="ATG companies" sheetId="14" r:id="rId11"/>
    <sheet name="Peer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0" l="1"/>
  <c r="D14" i="10"/>
  <c r="B13" i="10"/>
  <c r="B3" i="10"/>
  <c r="F27" i="11"/>
  <c r="E27" i="11"/>
  <c r="D27" i="11"/>
  <c r="C27" i="11"/>
  <c r="B27" i="11"/>
  <c r="C24" i="11"/>
  <c r="D24" i="11"/>
  <c r="E24" i="11"/>
  <c r="F24" i="11"/>
  <c r="C25" i="11"/>
  <c r="D25" i="11"/>
  <c r="E25" i="11"/>
  <c r="F25" i="11"/>
  <c r="C26" i="11"/>
  <c r="D26" i="11"/>
  <c r="E26" i="11"/>
  <c r="F26" i="11"/>
  <c r="B26" i="11"/>
  <c r="B25" i="11"/>
  <c r="B24" i="11"/>
  <c r="C19" i="11"/>
  <c r="D19" i="11"/>
  <c r="E19" i="11"/>
  <c r="F19" i="11"/>
  <c r="B19" i="11"/>
  <c r="F22" i="11"/>
  <c r="E22" i="11"/>
  <c r="D22" i="11"/>
  <c r="C22" i="11"/>
  <c r="B22" i="11"/>
  <c r="F20" i="11"/>
  <c r="E20" i="11"/>
  <c r="D20" i="11"/>
  <c r="C20" i="11"/>
  <c r="B20" i="11"/>
  <c r="F21" i="11"/>
  <c r="E21" i="11"/>
  <c r="D21" i="11"/>
  <c r="C21" i="11"/>
  <c r="B21" i="11"/>
  <c r="B23" i="11"/>
  <c r="C23" i="11"/>
  <c r="H16" i="11"/>
  <c r="F23" i="11"/>
  <c r="E23" i="11"/>
  <c r="D23" i="11"/>
  <c r="F18" i="11"/>
  <c r="E18" i="11"/>
  <c r="D18" i="11"/>
  <c r="C18" i="11"/>
  <c r="B18" i="11"/>
  <c r="F17" i="11"/>
  <c r="E17" i="11"/>
  <c r="D17" i="11"/>
  <c r="C17" i="11"/>
  <c r="B17" i="11"/>
  <c r="H3" i="11"/>
  <c r="F12" i="11"/>
  <c r="E12" i="11"/>
  <c r="F10" i="11"/>
  <c r="E10" i="11"/>
  <c r="D10" i="11"/>
  <c r="C10" i="11"/>
  <c r="B10" i="11"/>
  <c r="F9" i="11"/>
  <c r="E9" i="11"/>
  <c r="D9" i="11"/>
  <c r="C9" i="11"/>
  <c r="B9" i="11"/>
  <c r="F8" i="11"/>
  <c r="E8" i="11"/>
  <c r="D8" i="11"/>
  <c r="D6" i="11" s="1"/>
  <c r="D13" i="11" s="1"/>
  <c r="C8" i="11"/>
  <c r="F6" i="11"/>
  <c r="F13" i="11" s="1"/>
  <c r="E6" i="11"/>
  <c r="E13" i="11" s="1"/>
  <c r="F5" i="11"/>
  <c r="F11" i="11" s="1"/>
  <c r="E5" i="11"/>
  <c r="E11" i="11" s="1"/>
  <c r="D5" i="11"/>
  <c r="D11" i="11" s="1"/>
  <c r="C5" i="11"/>
  <c r="C11" i="11" s="1"/>
  <c r="B5" i="11"/>
  <c r="B11" i="11" s="1"/>
  <c r="F4" i="11"/>
  <c r="E4" i="11"/>
  <c r="D4" i="11"/>
  <c r="D12" i="11" s="1"/>
  <c r="C4" i="11"/>
  <c r="C12" i="11" s="1"/>
  <c r="B4" i="11"/>
  <c r="B12" i="11" s="1"/>
  <c r="H61" i="14"/>
  <c r="I61" i="14"/>
  <c r="J61" i="14"/>
  <c r="K61" i="14"/>
  <c r="G61" i="14"/>
  <c r="K27" i="14"/>
  <c r="G27" i="14"/>
  <c r="K49" i="14"/>
  <c r="J49" i="14"/>
  <c r="I49" i="14"/>
  <c r="H49" i="14"/>
  <c r="G49" i="14"/>
  <c r="K48" i="14"/>
  <c r="J48" i="14"/>
  <c r="I48" i="14"/>
  <c r="H48" i="14"/>
  <c r="G48" i="14"/>
  <c r="K47" i="14"/>
  <c r="J47" i="14"/>
  <c r="I47" i="14"/>
  <c r="H47" i="14"/>
  <c r="G47" i="14"/>
  <c r="G46" i="14"/>
  <c r="K46" i="14"/>
  <c r="J46" i="14"/>
  <c r="I46" i="14"/>
  <c r="H46" i="14"/>
  <c r="K42" i="14"/>
  <c r="K53" i="14" s="1"/>
  <c r="J42" i="14"/>
  <c r="I42" i="14"/>
  <c r="G42" i="14"/>
  <c r="K44" i="14"/>
  <c r="K51" i="14" s="1"/>
  <c r="J44" i="14"/>
  <c r="J50" i="14" s="1"/>
  <c r="I44" i="14"/>
  <c r="H44" i="14"/>
  <c r="H50" i="14" s="1"/>
  <c r="G44" i="14"/>
  <c r="K43" i="14"/>
  <c r="J43" i="14"/>
  <c r="I43" i="14"/>
  <c r="I45" i="14" s="1"/>
  <c r="H43" i="14"/>
  <c r="H45" i="14" s="1"/>
  <c r="G43" i="14"/>
  <c r="G51" i="14" s="1"/>
  <c r="G40" i="14"/>
  <c r="H37" i="14"/>
  <c r="K35" i="14"/>
  <c r="J35" i="14"/>
  <c r="I35" i="14"/>
  <c r="H35" i="14"/>
  <c r="G35" i="14"/>
  <c r="K36" i="14"/>
  <c r="J36" i="14"/>
  <c r="I36" i="14"/>
  <c r="H36" i="14"/>
  <c r="G36" i="14"/>
  <c r="K33" i="14"/>
  <c r="J33" i="14"/>
  <c r="I33" i="14"/>
  <c r="I37" i="14" s="1"/>
  <c r="H33" i="14"/>
  <c r="G33" i="14"/>
  <c r="K31" i="14"/>
  <c r="K37" i="14" s="1"/>
  <c r="J31" i="14"/>
  <c r="I31" i="14"/>
  <c r="H31" i="14"/>
  <c r="G31" i="14"/>
  <c r="J29" i="14"/>
  <c r="J40" i="14" s="1"/>
  <c r="K29" i="14"/>
  <c r="K40" i="14" s="1"/>
  <c r="I29" i="14"/>
  <c r="I40" i="14" s="1"/>
  <c r="H29" i="14"/>
  <c r="H40" i="14" s="1"/>
  <c r="K30" i="14"/>
  <c r="J30" i="14"/>
  <c r="J32" i="14" s="1"/>
  <c r="I30" i="14"/>
  <c r="I38" i="14" s="1"/>
  <c r="H30" i="14"/>
  <c r="H38" i="14" s="1"/>
  <c r="G30" i="14"/>
  <c r="G32" i="14" s="1"/>
  <c r="G39" i="14" s="1"/>
  <c r="H17" i="14"/>
  <c r="I17" i="14"/>
  <c r="J17" i="14"/>
  <c r="K17" i="14"/>
  <c r="G17" i="14"/>
  <c r="K22" i="14"/>
  <c r="J22" i="14"/>
  <c r="I22" i="14"/>
  <c r="H22" i="14"/>
  <c r="G22" i="14"/>
  <c r="G21" i="14"/>
  <c r="H21" i="14"/>
  <c r="I21" i="14"/>
  <c r="K21" i="14"/>
  <c r="J21" i="14"/>
  <c r="K20" i="14"/>
  <c r="J20" i="14"/>
  <c r="I20" i="14"/>
  <c r="H20" i="14"/>
  <c r="G20" i="14"/>
  <c r="K18" i="14"/>
  <c r="J18" i="14"/>
  <c r="I18" i="14"/>
  <c r="H18" i="14"/>
  <c r="G18" i="14"/>
  <c r="H4" i="14"/>
  <c r="I4" i="14"/>
  <c r="J4" i="14"/>
  <c r="K4" i="14"/>
  <c r="G4" i="14"/>
  <c r="K9" i="14"/>
  <c r="J9" i="14"/>
  <c r="I9" i="14"/>
  <c r="H9" i="14"/>
  <c r="G9" i="14"/>
  <c r="K5" i="14"/>
  <c r="K11" i="14" s="1"/>
  <c r="J5" i="14"/>
  <c r="J11" i="14" s="1"/>
  <c r="I5" i="14"/>
  <c r="I11" i="14" s="1"/>
  <c r="H5" i="14"/>
  <c r="H11" i="14" s="1"/>
  <c r="G5" i="14"/>
  <c r="G11" i="14" s="1"/>
  <c r="K10" i="14"/>
  <c r="J10" i="14"/>
  <c r="I10" i="14"/>
  <c r="H10" i="14"/>
  <c r="G10" i="14"/>
  <c r="K8" i="14"/>
  <c r="J8" i="14"/>
  <c r="I8" i="14"/>
  <c r="H8" i="14"/>
  <c r="I43" i="9"/>
  <c r="B32" i="14"/>
  <c r="C32" i="14" s="1"/>
  <c r="D32" i="14" s="1"/>
  <c r="B4" i="10"/>
  <c r="B6" i="11" l="1"/>
  <c r="B13" i="11" s="1"/>
  <c r="C6" i="11"/>
  <c r="C13" i="11" s="1"/>
  <c r="I52" i="14"/>
  <c r="G50" i="14"/>
  <c r="H52" i="14"/>
  <c r="G37" i="14"/>
  <c r="G38" i="14"/>
  <c r="J45" i="14"/>
  <c r="J52" i="14" s="1"/>
  <c r="K50" i="14"/>
  <c r="G58" i="14"/>
  <c r="K54" i="14"/>
  <c r="K59" i="14" s="1"/>
  <c r="K38" i="14"/>
  <c r="J37" i="14"/>
  <c r="J51" i="14"/>
  <c r="J39" i="14"/>
  <c r="I51" i="14"/>
  <c r="K45" i="14"/>
  <c r="K52" i="14" s="1"/>
  <c r="I32" i="14"/>
  <c r="I39" i="14" s="1"/>
  <c r="K32" i="14"/>
  <c r="K39" i="14" s="1"/>
  <c r="H51" i="14"/>
  <c r="J58" i="14"/>
  <c r="G54" i="14"/>
  <c r="G59" i="14" s="1"/>
  <c r="I58" i="14"/>
  <c r="H25" i="14"/>
  <c r="G45" i="14"/>
  <c r="G52" i="14" s="1"/>
  <c r="I50" i="14"/>
  <c r="H58" i="14"/>
  <c r="I24" i="14"/>
  <c r="J19" i="14"/>
  <c r="H32" i="14"/>
  <c r="H39" i="14" s="1"/>
  <c r="J38" i="14"/>
  <c r="J54" i="14"/>
  <c r="J59" i="14" s="1"/>
  <c r="I54" i="14"/>
  <c r="I59" i="14" s="1"/>
  <c r="H54" i="14"/>
  <c r="H59" i="14" s="1"/>
  <c r="K58" i="14"/>
  <c r="K6" i="14"/>
  <c r="I25" i="14"/>
  <c r="I19" i="14"/>
  <c r="H19" i="14"/>
  <c r="G19" i="14"/>
  <c r="I12" i="14"/>
  <c r="G6" i="14"/>
  <c r="J12" i="14"/>
  <c r="J24" i="14"/>
  <c r="I6" i="14"/>
  <c r="K25" i="14"/>
  <c r="J6" i="14"/>
  <c r="J25" i="14"/>
  <c r="H6" i="14"/>
  <c r="G24" i="14"/>
  <c r="K24" i="14"/>
  <c r="K12" i="14"/>
  <c r="H12" i="14"/>
  <c r="H24" i="14"/>
  <c r="G12" i="14"/>
  <c r="G25" i="14"/>
  <c r="K19" i="14"/>
  <c r="M46" i="9"/>
  <c r="L46" i="9"/>
  <c r="K46" i="9"/>
  <c r="J46" i="9"/>
  <c r="I46" i="9"/>
  <c r="M45" i="9"/>
  <c r="L45" i="9"/>
  <c r="K45" i="9"/>
  <c r="J45" i="9"/>
  <c r="I45" i="9"/>
  <c r="M43" i="9"/>
  <c r="L43" i="9"/>
  <c r="K43" i="9"/>
  <c r="J43" i="9"/>
  <c r="M42" i="9"/>
  <c r="L42" i="9"/>
  <c r="K42" i="9"/>
  <c r="J42" i="9"/>
  <c r="I42" i="9"/>
  <c r="M41" i="9"/>
  <c r="L41" i="9"/>
  <c r="K41" i="9"/>
  <c r="J41" i="9"/>
  <c r="I41" i="9"/>
  <c r="M39" i="9"/>
  <c r="L39" i="9"/>
  <c r="K39" i="9"/>
  <c r="J39" i="9"/>
  <c r="M38" i="9"/>
  <c r="L38" i="9"/>
  <c r="K38" i="9"/>
  <c r="J38" i="9"/>
  <c r="I38" i="9"/>
  <c r="M33" i="9"/>
  <c r="L33" i="9"/>
  <c r="K33" i="9"/>
  <c r="J33" i="9"/>
  <c r="I33" i="9"/>
  <c r="M32" i="9"/>
  <c r="L32" i="9"/>
  <c r="K32" i="9"/>
  <c r="J32" i="9"/>
  <c r="I32" i="9"/>
  <c r="M31" i="9"/>
  <c r="L31" i="9"/>
  <c r="K31" i="9"/>
  <c r="J31" i="9"/>
  <c r="I31" i="9"/>
  <c r="M29" i="9"/>
  <c r="L29" i="9"/>
  <c r="K29" i="9"/>
  <c r="J29" i="9"/>
  <c r="I29" i="9"/>
  <c r="M28" i="9"/>
  <c r="L28" i="9"/>
  <c r="K28" i="9"/>
  <c r="J28" i="9"/>
  <c r="I28" i="9"/>
  <c r="M27" i="9"/>
  <c r="L27" i="9"/>
  <c r="K27" i="9"/>
  <c r="J27" i="9"/>
  <c r="I27" i="9"/>
  <c r="M25" i="9"/>
  <c r="L25" i="9"/>
  <c r="K25" i="9"/>
  <c r="J25" i="9"/>
  <c r="I25" i="9"/>
  <c r="M24" i="9"/>
  <c r="L24" i="9"/>
  <c r="K24" i="9"/>
  <c r="J24" i="9"/>
  <c r="I24" i="9"/>
  <c r="M23" i="9"/>
  <c r="L23" i="9"/>
  <c r="K23" i="9"/>
  <c r="J23" i="9"/>
  <c r="I23" i="9"/>
  <c r="M12" i="9"/>
  <c r="L12" i="9"/>
  <c r="K12" i="9"/>
  <c r="J12" i="9"/>
  <c r="I12" i="9"/>
  <c r="F14" i="10"/>
  <c r="E14" i="10"/>
  <c r="C14" i="10"/>
  <c r="B14" i="10"/>
  <c r="F13" i="10"/>
  <c r="F15" i="10" s="1"/>
  <c r="E13" i="10"/>
  <c r="D13" i="10"/>
  <c r="C13" i="10"/>
  <c r="F9" i="10"/>
  <c r="E9" i="10"/>
  <c r="D9" i="10"/>
  <c r="C9" i="10"/>
  <c r="B9" i="10"/>
  <c r="B5" i="10"/>
  <c r="I26" i="1"/>
  <c r="H26" i="1"/>
  <c r="K60" i="14" l="1"/>
  <c r="K13" i="14"/>
  <c r="G13" i="14"/>
  <c r="G60" i="14"/>
  <c r="H13" i="14"/>
  <c r="H60" i="14"/>
  <c r="I13" i="14"/>
  <c r="I60" i="14"/>
  <c r="J13" i="14"/>
  <c r="J60" i="14"/>
  <c r="B15" i="10"/>
  <c r="C15" i="10"/>
  <c r="E15" i="10"/>
  <c r="D15" i="10"/>
</calcChain>
</file>

<file path=xl/sharedStrings.xml><?xml version="1.0" encoding="utf-8"?>
<sst xmlns="http://schemas.openxmlformats.org/spreadsheetml/2006/main" count="462" uniqueCount="193">
  <si>
    <t>Date</t>
  </si>
  <si>
    <t>Price KRI KRI</t>
  </si>
  <si>
    <t>Change %</t>
  </si>
  <si>
    <t>Price ATG</t>
  </si>
  <si>
    <t>Απόδοση 5ετίας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</si>
  <si>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</si>
  <si>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</si>
  <si>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</si>
  <si>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</si>
  <si>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</si>
  <si>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</si>
  <si>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</si>
  <si>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</si>
  <si>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</si>
  <si>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</si>
  <si>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</si>
  <si>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</si>
  <si>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</si>
  <si>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</si>
  <si>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</si>
  <si>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</si>
  <si>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</si>
  <si>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</si>
  <si>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</si>
  <si>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</si>
  <si>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</si>
  <si>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</si>
  <si>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</si>
  <si>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</si>
  <si>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</si>
  <si>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</si>
  <si>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</si>
  <si>
    <t>Predicted Y</t>
  </si>
  <si>
    <t>Residuals</t>
  </si>
  <si>
    <t>Υπολογισμός Cost of Equity από capm</t>
  </si>
  <si>
    <t>Rf</t>
  </si>
  <si>
    <t>b</t>
  </si>
  <si>
    <t xml:space="preserve"> Υπολογισμός cost of dept από ισολογισμό</t>
  </si>
  <si>
    <t>Υπολογισμός WACC</t>
  </si>
  <si>
    <t xml:space="preserve">Wacc </t>
  </si>
  <si>
    <t>Equity</t>
  </si>
  <si>
    <t>Dept</t>
  </si>
  <si>
    <t>%Equity</t>
  </si>
  <si>
    <t>Ισολογισμοι (Ποσά σε Ευρώ)</t>
  </si>
  <si>
    <t>ΚΑΧ (Ποσά σε Ευρώ)</t>
  </si>
  <si>
    <t>2020</t>
  </si>
  <si>
    <t>2021</t>
  </si>
  <si>
    <t>2022</t>
  </si>
  <si>
    <t>2023</t>
  </si>
  <si>
    <t>2024</t>
  </si>
  <si>
    <t>ΕΝΕΡΓΗΤΙΚΟ</t>
  </si>
  <si>
    <t>Κύκλος εργασιών</t>
  </si>
  <si>
    <t>Μη κυκλοφορούν ενεργητικό</t>
  </si>
  <si>
    <t>Κόστος πωληθέντων</t>
  </si>
  <si>
    <t>Ενσώματα πάγια</t>
  </si>
  <si>
    <t>Μικτό κέρδος</t>
  </si>
  <si>
    <t>Δικαιώματα χρήσης παγίων</t>
  </si>
  <si>
    <t>Έξοδα διάθεσης</t>
  </si>
  <si>
    <t>Επενδύσεις σε ακίνητα</t>
  </si>
  <si>
    <t>Έξοδα διοίκησης</t>
  </si>
  <si>
    <t>Άυλα περιουσιακά στοιχεία</t>
  </si>
  <si>
    <t>Έξοδα έρευνας &amp; ανάπτυξης</t>
  </si>
  <si>
    <t>Λοιπές μακροπρόθεσμες απαιτήσεις</t>
  </si>
  <si>
    <t>Άλλα έσοδα εκμετάλλευσης</t>
  </si>
  <si>
    <t>Σύνολο μη κυκλοφορούντος ενεργητικού</t>
  </si>
  <si>
    <t>Λοιπά κέρδη/(ζημίες) καθαρά</t>
  </si>
  <si>
    <t>Κυκλοφορούντα Στοιχεία του Ενεργητικού</t>
  </si>
  <si>
    <t>Κέρδη προ φόρων, χρηματοδοτικών και επενδυτικών αποτελεσμάτων</t>
  </si>
  <si>
    <t>Αποθέματα</t>
  </si>
  <si>
    <t>Αποσβέσεις</t>
  </si>
  <si>
    <t>Πελάτες και λοιπές απαιτήσεις</t>
  </si>
  <si>
    <t>EBIDTA</t>
  </si>
  <si>
    <t>Απαιτήσεις από φόρο εισοδήματος</t>
  </si>
  <si>
    <t>Χρηματοοικονομικά έσοδα</t>
  </si>
  <si>
    <t>Χρηματοοικονομικά μέσα</t>
  </si>
  <si>
    <t>Χρηματοοικονομικά έξοδα</t>
  </si>
  <si>
    <t>Δεσμευμένες καταθέσεις</t>
  </si>
  <si>
    <t>Χρηματοοικονομικά έξοδα μισθώσεων</t>
  </si>
  <si>
    <t>Ταμειακά διαθέσιμα και ισοδύναμα</t>
  </si>
  <si>
    <t>Χρηματοοικονομικό αποτέλεσμα (καθαρό)</t>
  </si>
  <si>
    <t>Σύνολο κυκλοφορούντος ενεργητικού</t>
  </si>
  <si>
    <t>Κέρδη προ φόρων</t>
  </si>
  <si>
    <t>Σύνολο ενεργητικού</t>
  </si>
  <si>
    <t>Φόρος εισοδήματος</t>
  </si>
  <si>
    <t>ΙΔΙΑ ΚΕΦΑΛΑΙΑ &amp; ΥΠΟΧΡΕΩΣΕΙΣ</t>
  </si>
  <si>
    <t>Κέρδη μετά από φόρους (A)</t>
  </si>
  <si>
    <t>Ίδια κεφάλαια</t>
  </si>
  <si>
    <t>Μετοχικό κεφάλαιο</t>
  </si>
  <si>
    <t xml:space="preserve">Δείκτες </t>
  </si>
  <si>
    <t>Αποθεματικά</t>
  </si>
  <si>
    <t>Δείκτες Κερδοφορίας</t>
  </si>
  <si>
    <t>Αποθεματικό ιδίων μετοχών</t>
  </si>
  <si>
    <t>ROE</t>
  </si>
  <si>
    <t>Κέρδη εις νέον</t>
  </si>
  <si>
    <t>ROA</t>
  </si>
  <si>
    <t>Σύνολο ιδίων κεφαλαίων</t>
  </si>
  <si>
    <t>ROCE</t>
  </si>
  <si>
    <t>Υποχρεώσεις</t>
  </si>
  <si>
    <t>Δείκτες Μόχλευσης</t>
  </si>
  <si>
    <t>Μακροπρόθεσμες υποχρεώσεις</t>
  </si>
  <si>
    <t>Net Dept/Ebidta</t>
  </si>
  <si>
    <t>Μακροπρόθεσμες δανειακές υποχρεώσεις</t>
  </si>
  <si>
    <t>Dept/Equity</t>
  </si>
  <si>
    <t>Μακροπρόθεσμες υποχρεώσεις μισθώσεων</t>
  </si>
  <si>
    <t>Τόκοι / Κέρδη</t>
  </si>
  <si>
    <t>Υποχρεώσεις παροχών συνταξιοδότησης</t>
  </si>
  <si>
    <t>Δείκτες Ρευστότητας</t>
  </si>
  <si>
    <t>Αναβαλλόμενες φορολογικές υποχρεώσεις</t>
  </si>
  <si>
    <t>Working Capital</t>
  </si>
  <si>
    <t>Επιχορηγήσεις</t>
  </si>
  <si>
    <t>Current Ratio</t>
  </si>
  <si>
    <t>Σύνολο μακροπρόθεσμων υποχρεώσεων</t>
  </si>
  <si>
    <t>Quick Ratio</t>
  </si>
  <si>
    <t>Βραχυπρόθεσμες υποχρεώσεις</t>
  </si>
  <si>
    <t>Δείκτες Δραστηριότητας</t>
  </si>
  <si>
    <t>Βραχυπρόθεσμες δανειακές υποχρεώσεις</t>
  </si>
  <si>
    <t>Μερες Αποθέματα</t>
  </si>
  <si>
    <t>Βραχυπρόθεσμες υποχρεώσεις μισθώσεων</t>
  </si>
  <si>
    <t>Μέρες Απαιτήσεων</t>
  </si>
  <si>
    <t>Προμηθευτές και λοιπές υποχρεώσεις</t>
  </si>
  <si>
    <t>Δείκτες Αποτίμησης</t>
  </si>
  <si>
    <t>Υποχρεώσεις από φόρο εισοδήματος</t>
  </si>
  <si>
    <t>Price @ 31/12</t>
  </si>
  <si>
    <t>Σύνολο βραχυπρόθεσμων υποχρεώσεων</t>
  </si>
  <si>
    <t>Απόδοση από προηγ. χρόνο</t>
  </si>
  <si>
    <t>-</t>
  </si>
  <si>
    <t>Σύνολο υποχρεώσεων</t>
  </si>
  <si>
    <t>Αριθμός Μετοχών</t>
  </si>
  <si>
    <t>Σύνολο ιδίων κεφαλαίων και υποχρεώσεων</t>
  </si>
  <si>
    <t>EPS</t>
  </si>
  <si>
    <t>P/E</t>
  </si>
  <si>
    <t>EV/EBIDTA</t>
  </si>
  <si>
    <t>Μερίσματα</t>
  </si>
  <si>
    <t>Μερίσματα / Μετοχή</t>
  </si>
  <si>
    <t>Divident Yield</t>
  </si>
  <si>
    <t>Standard Residuals</t>
  </si>
  <si>
    <t>PROBABILITY OUTPUT</t>
  </si>
  <si>
    <t>Percentile</t>
  </si>
  <si>
    <t>Y</t>
  </si>
  <si>
    <t>Greece 10-Year Bond Yield - Investing.com</t>
  </si>
  <si>
    <t>Average market risk premium Greece 2011-2025| Statista</t>
  </si>
  <si>
    <t>GR - Market Risk Premia</t>
  </si>
  <si>
    <t>Name</t>
  </si>
  <si>
    <t>Market Cap</t>
  </si>
  <si>
    <t>P/E Ratio</t>
  </si>
  <si>
    <t>Ekter</t>
  </si>
  <si>
    <t>Athens Water</t>
  </si>
  <si>
    <t>Piraeus Bank</t>
  </si>
  <si>
    <t>Alpha Bank</t>
  </si>
  <si>
    <t>Holding Company ADMIE</t>
  </si>
  <si>
    <t>Public Power</t>
  </si>
  <si>
    <t>Autohellas</t>
  </si>
  <si>
    <t>AS Company</t>
  </si>
  <si>
    <t>Ellaktor</t>
  </si>
  <si>
    <t>Avax</t>
  </si>
  <si>
    <t>Alter Ego Media</t>
  </si>
  <si>
    <t>Hellenic Exchanges</t>
  </si>
  <si>
    <t>Jumbo</t>
  </si>
  <si>
    <t>Bank of Cyprus Holdings</t>
  </si>
  <si>
    <t>Athens International Airport</t>
  </si>
  <si>
    <t>Cenergy Hold</t>
  </si>
  <si>
    <t>Evropi Holdings</t>
  </si>
  <si>
    <t>Austriacard Holdings</t>
  </si>
  <si>
    <t>Fourlis Hld</t>
  </si>
  <si>
    <t>Dimand Societe Anonyme for Real Estate Constructio</t>
  </si>
  <si>
    <t>HELLENiQ ENERGY Holdings</t>
  </si>
  <si>
    <t>BLE Kedros RE Investment</t>
  </si>
  <si>
    <t>Athens Medical</t>
  </si>
  <si>
    <t>Alumil</t>
  </si>
  <si>
    <t>Coca Cola HBC AG</t>
  </si>
  <si>
    <t>BriQ Properties</t>
  </si>
  <si>
    <t>Eurobank Ergasias</t>
  </si>
  <si>
    <t xml:space="preserve">Aktor Symmetochon Technikon kai Energoiakon Ergon </t>
  </si>
  <si>
    <t>Elvalhalcor Hellenic</t>
  </si>
  <si>
    <t>Aegean Airlines</t>
  </si>
  <si>
    <t>Coca Cola</t>
  </si>
  <si>
    <t>Net Income</t>
  </si>
  <si>
    <t>EV</t>
  </si>
  <si>
    <t>Price @31/12</t>
  </si>
  <si>
    <t>Debt</t>
  </si>
  <si>
    <t>Cash &amp; Equiv.</t>
  </si>
  <si>
    <t>Ev/Ebidta</t>
  </si>
  <si>
    <t>Eurobank</t>
  </si>
  <si>
    <t>Public Power (DEH)</t>
  </si>
  <si>
    <t>TOTAL MARKET CAP</t>
  </si>
  <si>
    <t xml:space="preserve">Total Market Cap </t>
  </si>
  <si>
    <t>Average (ATG Proxy)</t>
  </si>
  <si>
    <t>KRI KRI</t>
  </si>
  <si>
    <t>Nestle</t>
  </si>
  <si>
    <t>Αποδοση</t>
  </si>
  <si>
    <t>Cost of dept</t>
  </si>
  <si>
    <t>MRP</t>
  </si>
  <si>
    <t>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</si>
</sst>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#,##0.000"/>
    <numFmt numFmtId="166" formatCode="0.000"/>
    <numFmt numFmtId="167" formatCode="_ [$€-2]\ * #,##0.00_ ;_ [$€-2]\ * \-#,##0.00_ ;_ [$€-2]\ * &quot;-&quot;??_ ;_ @_ "/>
    <numFmt numFmtId="168" formatCode="0.00_);[Red]\(0.00\)"/>
    <numFmt numFmtId="169" formatCode="0.000%"/>
    <numFmt numFmtId="170" formatCode="dd\-mm\-yyyy"/>
    <numFmt numFmtId="171" formatCode="mm\-dd\-yyyy"/>
    <numFmt numFmtId="187" formatCode="_-* #,##0.00\ [$CHF-100C]_-;\-* #,##0.00\ [$CHF-100C]_-;_-* &quot;-&quot;??\ [$CHF-100C]_-;_-@_-"/>
  </numFmts>
  <fonts count="23" x14ac:knownFonts="1">
    <font>
      <sz val="11"/>
      <color theme="1"/>
      <name val="Aptos Narrow"/>
      <charset val="134"/>
      <scheme val="minor"/>
    </font>
    <font>
      <sz val="11"/>
      <color theme="1"/>
      <name val="Times New Roman"/>
      <family val="1"/>
      <charset val="161"/>
    </font>
    <font>
      <b/>
      <sz val="11"/>
      <color theme="0"/>
      <name val="Times New Roman"/>
      <family val="1"/>
      <charset val="161"/>
    </font>
    <font>
      <b/>
      <sz val="11"/>
      <color theme="0"/>
      <name val="Calibri"/>
      <family val="2"/>
      <charset val="161"/>
    </font>
    <font>
      <b/>
      <sz val="11"/>
      <color theme="1"/>
      <name val="Times New Roman"/>
      <family val="1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sz val="11"/>
      <color rgb="FF000000"/>
      <name val="Calibri"/>
      <family val="2"/>
      <charset val="161"/>
    </font>
    <font>
      <b/>
      <sz val="11"/>
      <color indexed="56"/>
      <name val="Calibri"/>
      <family val="2"/>
      <charset val="161"/>
    </font>
    <font>
      <b/>
      <sz val="11"/>
      <name val="Calibri"/>
      <family val="2"/>
      <charset val="16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161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Times New Roman"/>
      <family val="1"/>
      <charset val="161"/>
    </font>
    <font>
      <sz val="11"/>
      <name val="Times New Roman"/>
      <family val="1"/>
      <charset val="161"/>
    </font>
    <font>
      <sz val="11"/>
      <color rgb="FF232526"/>
      <name val="Times New Roman"/>
      <family val="1"/>
      <charset val="161"/>
    </font>
    <font>
      <sz val="11"/>
      <color indexed="8"/>
      <name val="Times New Roman"/>
      <family val="1"/>
      <charset val="161"/>
    </font>
    <font>
      <b/>
      <sz val="11"/>
      <name val="Times New Roman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theme="9" tint="0.39991454817346722"/>
      </bottom>
      <diagonal/>
    </border>
    <border>
      <left/>
      <right/>
      <top/>
      <bottom style="thin">
        <color theme="9" tint="0.39991454817346722"/>
      </bottom>
      <diagonal/>
    </border>
    <border>
      <left/>
      <right style="medium">
        <color auto="1"/>
      </right>
      <top/>
      <bottom style="thin">
        <color theme="9" tint="0.39991454817346722"/>
      </bottom>
      <diagonal/>
    </border>
    <border>
      <left style="medium">
        <color auto="1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 style="medium">
        <color auto="1"/>
      </right>
      <top style="thin">
        <color theme="9" tint="0.39991454817346722"/>
      </top>
      <bottom style="thin">
        <color theme="9" tint="0.39991454817346722"/>
      </bottom>
      <diagonal/>
    </border>
    <border>
      <left style="medium">
        <color auto="1"/>
      </left>
      <right/>
      <top style="thin">
        <color theme="9" tint="0.39991454817346722"/>
      </top>
      <bottom/>
      <diagonal/>
    </border>
    <border>
      <left/>
      <right/>
      <top style="thin">
        <color theme="9" tint="0.39991454817346722"/>
      </top>
      <bottom/>
      <diagonal/>
    </border>
    <border>
      <left/>
      <right style="medium">
        <color auto="1"/>
      </right>
      <top style="thin">
        <color theme="9" tint="0.39991454817346722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4" xfId="0" applyFont="1" applyBorder="1"/>
    <xf numFmtId="0" fontId="6" fillId="0" borderId="7" xfId="0" applyFont="1" applyBorder="1"/>
    <xf numFmtId="0" fontId="1" fillId="0" borderId="8" xfId="0" applyFon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0" fontId="1" fillId="0" borderId="11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4" xfId="0" applyFont="1" applyBorder="1"/>
    <xf numFmtId="164" fontId="4" fillId="0" borderId="15" xfId="0" applyNumberFormat="1" applyFont="1" applyBorder="1"/>
    <xf numFmtId="164" fontId="4" fillId="0" borderId="16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7" fillId="0" borderId="7" xfId="0" applyFont="1" applyBorder="1"/>
    <xf numFmtId="0" fontId="4" fillId="3" borderId="4" xfId="0" applyFont="1" applyFill="1" applyBorder="1"/>
    <xf numFmtId="164" fontId="4" fillId="3" borderId="5" xfId="0" applyNumberFormat="1" applyFont="1" applyFill="1" applyBorder="1"/>
    <xf numFmtId="164" fontId="4" fillId="3" borderId="6" xfId="0" applyNumberFormat="1" applyFont="1" applyFill="1" applyBorder="1"/>
    <xf numFmtId="0" fontId="4" fillId="0" borderId="8" xfId="0" applyFont="1" applyBorder="1"/>
    <xf numFmtId="0" fontId="8" fillId="0" borderId="0" xfId="0" applyFont="1"/>
    <xf numFmtId="0" fontId="9" fillId="0" borderId="4" xfId="0" applyFont="1" applyBorder="1"/>
    <xf numFmtId="0" fontId="6" fillId="0" borderId="1" xfId="0" applyFont="1" applyBorder="1"/>
    <xf numFmtId="0" fontId="1" fillId="0" borderId="14" xfId="0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0" fontId="1" fillId="0" borderId="7" xfId="0" applyFon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0" fontId="6" fillId="0" borderId="17" xfId="0" applyFont="1" applyBorder="1"/>
    <xf numFmtId="0" fontId="4" fillId="0" borderId="11" xfId="0" applyFont="1" applyBorder="1"/>
    <xf numFmtId="0" fontId="1" fillId="0" borderId="17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5" fillId="0" borderId="5" xfId="0" applyNumberFormat="1" applyFont="1" applyBorder="1"/>
    <xf numFmtId="164" fontId="10" fillId="0" borderId="5" xfId="0" applyNumberFormat="1" applyFont="1" applyBorder="1"/>
    <xf numFmtId="164" fontId="5" fillId="0" borderId="6" xfId="0" applyNumberFormat="1" applyFont="1" applyBorder="1"/>
    <xf numFmtId="164" fontId="6" fillId="0" borderId="0" xfId="0" applyNumberFormat="1" applyFont="1"/>
    <xf numFmtId="164" fontId="6" fillId="0" borderId="18" xfId="0" applyNumberFormat="1" applyFont="1" applyBorder="1"/>
    <xf numFmtId="164" fontId="11" fillId="0" borderId="0" xfId="0" applyNumberFormat="1" applyFont="1"/>
    <xf numFmtId="164" fontId="11" fillId="0" borderId="18" xfId="0" applyNumberFormat="1" applyFont="1" applyBorder="1"/>
    <xf numFmtId="0" fontId="6" fillId="0" borderId="0" xfId="0" applyFont="1"/>
    <xf numFmtId="0" fontId="11" fillId="0" borderId="0" xfId="0" applyFont="1"/>
    <xf numFmtId="0" fontId="6" fillId="0" borderId="5" xfId="0" applyFont="1" applyBorder="1"/>
    <xf numFmtId="0" fontId="6" fillId="0" borderId="6" xfId="0" applyFont="1" applyBorder="1"/>
    <xf numFmtId="3" fontId="6" fillId="0" borderId="5" xfId="0" applyNumberFormat="1" applyFont="1" applyBorder="1"/>
    <xf numFmtId="3" fontId="6" fillId="0" borderId="6" xfId="0" applyNumberFormat="1" applyFont="1" applyBorder="1"/>
    <xf numFmtId="165" fontId="6" fillId="0" borderId="2" xfId="0" applyNumberFormat="1" applyFont="1" applyBorder="1"/>
    <xf numFmtId="165" fontId="6" fillId="0" borderId="3" xfId="0" applyNumberFormat="1" applyFont="1" applyBorder="1"/>
    <xf numFmtId="165" fontId="6" fillId="0" borderId="0" xfId="0" applyNumberFormat="1" applyFont="1"/>
    <xf numFmtId="165" fontId="6" fillId="0" borderId="18" xfId="0" applyNumberFormat="1" applyFont="1" applyBorder="1"/>
    <xf numFmtId="165" fontId="6" fillId="0" borderId="19" xfId="0" applyNumberFormat="1" applyFont="1" applyBorder="1"/>
    <xf numFmtId="165" fontId="6" fillId="0" borderId="20" xfId="0" applyNumberFormat="1" applyFont="1" applyBorder="1"/>
    <xf numFmtId="166" fontId="6" fillId="0" borderId="2" xfId="0" applyNumberFormat="1" applyFont="1" applyBorder="1"/>
    <xf numFmtId="166" fontId="6" fillId="0" borderId="3" xfId="0" applyNumberFormat="1" applyFont="1" applyBorder="1"/>
    <xf numFmtId="166" fontId="1" fillId="0" borderId="0" xfId="0" applyNumberFormat="1" applyFont="1"/>
    <xf numFmtId="166" fontId="1" fillId="0" borderId="18" xfId="0" applyNumberFormat="1" applyFont="1" applyBorder="1"/>
    <xf numFmtId="166" fontId="1" fillId="0" borderId="19" xfId="0" applyNumberFormat="1" applyFont="1" applyBorder="1"/>
    <xf numFmtId="166" fontId="1" fillId="0" borderId="20" xfId="0" applyNumberFormat="1" applyFont="1" applyBorder="1"/>
    <xf numFmtId="164" fontId="1" fillId="0" borderId="0" xfId="0" applyNumberFormat="1" applyFont="1"/>
    <xf numFmtId="164" fontId="1" fillId="0" borderId="18" xfId="0" applyNumberFormat="1" applyFont="1" applyBorder="1"/>
    <xf numFmtId="0" fontId="1" fillId="0" borderId="18" xfId="0" applyFont="1" applyBorder="1"/>
    <xf numFmtId="167" fontId="1" fillId="0" borderId="0" xfId="2" applyNumberFormat="1" applyFont="1" applyAlignment="1"/>
    <xf numFmtId="167" fontId="1" fillId="0" borderId="18" xfId="2" applyNumberFormat="1" applyFont="1" applyBorder="1" applyAlignment="1"/>
    <xf numFmtId="9" fontId="1" fillId="0" borderId="0" xfId="2" applyFont="1" applyAlignment="1"/>
    <xf numFmtId="0" fontId="12" fillId="0" borderId="0" xfId="0" applyFont="1"/>
    <xf numFmtId="0" fontId="12" fillId="0" borderId="18" xfId="0" applyFont="1" applyBorder="1"/>
    <xf numFmtId="168" fontId="1" fillId="0" borderId="0" xfId="0" applyNumberFormat="1" applyFont="1"/>
    <xf numFmtId="168" fontId="1" fillId="0" borderId="18" xfId="0" applyNumberFormat="1" applyFont="1" applyBorder="1"/>
    <xf numFmtId="167" fontId="1" fillId="0" borderId="0" xfId="0" applyNumberFormat="1" applyFont="1"/>
    <xf numFmtId="167" fontId="1" fillId="0" borderId="18" xfId="0" applyNumberFormat="1" applyFont="1" applyBorder="1"/>
    <xf numFmtId="167" fontId="12" fillId="0" borderId="0" xfId="0" applyNumberFormat="1" applyFont="1"/>
    <xf numFmtId="167" fontId="12" fillId="0" borderId="18" xfId="0" applyNumberFormat="1" applyFont="1" applyBorder="1"/>
    <xf numFmtId="9" fontId="1" fillId="0" borderId="19" xfId="2" applyFont="1" applyBorder="1" applyAlignment="1"/>
    <xf numFmtId="9" fontId="1" fillId="0" borderId="20" xfId="2" applyFont="1" applyBorder="1" applyAlignment="1"/>
    <xf numFmtId="10" fontId="0" fillId="0" borderId="0" xfId="0" applyNumberFormat="1"/>
    <xf numFmtId="0" fontId="14" fillId="0" borderId="21" xfId="0" applyFont="1" applyBorder="1" applyAlignment="1">
      <alignment horizontal="centerContinuous"/>
    </xf>
    <xf numFmtId="0" fontId="15" fillId="3" borderId="0" xfId="0" applyFont="1" applyFill="1"/>
    <xf numFmtId="0" fontId="0" fillId="0" borderId="19" xfId="0" applyBorder="1"/>
    <xf numFmtId="0" fontId="14" fillId="0" borderId="21" xfId="0" applyFont="1" applyBorder="1" applyAlignment="1">
      <alignment horizontal="center"/>
    </xf>
    <xf numFmtId="0" fontId="15" fillId="3" borderId="19" xfId="0" applyFont="1" applyFill="1" applyBorder="1"/>
    <xf numFmtId="0" fontId="6" fillId="0" borderId="0" xfId="0" applyFont="1" applyAlignment="1">
      <alignment vertical="center"/>
    </xf>
    <xf numFmtId="170" fontId="0" fillId="0" borderId="0" xfId="0" applyNumberFormat="1"/>
    <xf numFmtId="10" fontId="6" fillId="0" borderId="0" xfId="0" applyNumberFormat="1" applyFont="1" applyAlignment="1">
      <alignment vertical="center"/>
    </xf>
    <xf numFmtId="9" fontId="0" fillId="0" borderId="0" xfId="2" applyFont="1" applyAlignment="1"/>
    <xf numFmtId="4" fontId="6" fillId="0" borderId="0" xfId="0" applyNumberFormat="1" applyFont="1" applyAlignment="1">
      <alignment vertical="center"/>
    </xf>
    <xf numFmtId="17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0" fontId="1" fillId="0" borderId="0" xfId="0" applyNumberFormat="1" applyFont="1"/>
    <xf numFmtId="2" fontId="1" fillId="0" borderId="0" xfId="0" applyNumberFormat="1" applyFont="1"/>
    <xf numFmtId="10" fontId="18" fillId="0" borderId="0" xfId="2" applyNumberFormat="1" applyFont="1" applyAlignment="1"/>
    <xf numFmtId="0" fontId="1" fillId="0" borderId="0" xfId="0" applyFont="1" applyAlignment="1">
      <alignment horizontal="center"/>
    </xf>
    <xf numFmtId="169" fontId="1" fillId="0" borderId="0" xfId="2" applyNumberFormat="1" applyFont="1" applyAlignment="1"/>
    <xf numFmtId="169" fontId="18" fillId="0" borderId="0" xfId="2" applyNumberFormat="1" applyFont="1" applyAlignment="1"/>
    <xf numFmtId="169" fontId="19" fillId="0" borderId="0" xfId="2" applyNumberFormat="1" applyFont="1" applyAlignment="1"/>
    <xf numFmtId="0" fontId="13" fillId="0" borderId="0" xfId="0" applyFont="1"/>
    <xf numFmtId="0" fontId="13" fillId="3" borderId="19" xfId="0" applyFont="1" applyFill="1" applyBorder="1"/>
    <xf numFmtId="0" fontId="13" fillId="3" borderId="0" xfId="0" applyFont="1" applyFill="1"/>
    <xf numFmtId="169" fontId="18" fillId="3" borderId="0" xfId="2" applyNumberFormat="1" applyFont="1" applyFill="1" applyAlignment="1"/>
    <xf numFmtId="164" fontId="19" fillId="5" borderId="0" xfId="0" applyNumberFormat="1" applyFont="1" applyFill="1" applyAlignment="1">
      <alignment horizontal="right" vertical="center" wrapText="1" readingOrder="1"/>
    </xf>
    <xf numFmtId="164" fontId="20" fillId="5" borderId="0" xfId="0" applyNumberFormat="1" applyFont="1" applyFill="1" applyAlignment="1">
      <alignment horizontal="right" vertical="center" wrapText="1"/>
    </xf>
    <xf numFmtId="164" fontId="19" fillId="4" borderId="0" xfId="0" applyNumberFormat="1" applyFont="1" applyFill="1" applyAlignment="1">
      <alignment horizontal="right" vertical="center" wrapText="1" readingOrder="1"/>
    </xf>
    <xf numFmtId="0" fontId="21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2" fillId="3" borderId="0" xfId="0" applyFont="1" applyFill="1"/>
    <xf numFmtId="0" fontId="21" fillId="0" borderId="0" xfId="0" applyFont="1" applyAlignment="1">
      <alignment vertical="center"/>
    </xf>
    <xf numFmtId="0" fontId="20" fillId="4" borderId="0" xfId="0" applyFont="1" applyFill="1" applyAlignment="1">
      <alignment horizontal="right" vertical="center" wrapText="1"/>
    </xf>
    <xf numFmtId="164" fontId="1" fillId="0" borderId="0" xfId="1" applyNumberFormat="1" applyFont="1" applyAlignment="1"/>
    <xf numFmtId="0" fontId="4" fillId="0" borderId="0" xfId="0" applyFont="1"/>
    <xf numFmtId="166" fontId="4" fillId="0" borderId="0" xfId="0" applyNumberFormat="1" applyFont="1"/>
    <xf numFmtId="10" fontId="4" fillId="0" borderId="0" xfId="0" applyNumberFormat="1" applyFont="1"/>
    <xf numFmtId="0" fontId="4" fillId="0" borderId="0" xfId="0" applyFont="1" applyAlignment="1">
      <alignment horizontal="center"/>
    </xf>
    <xf numFmtId="0" fontId="16" fillId="0" borderId="0" xfId="3" applyAlignment="1">
      <alignment horizontal="center"/>
    </xf>
    <xf numFmtId="0" fontId="2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/>
    <xf numFmtId="10" fontId="4" fillId="0" borderId="0" xfId="2" applyNumberFormat="1" applyFont="1" applyAlignment="1"/>
    <xf numFmtId="169" fontId="4" fillId="0" borderId="0" xfId="2" applyNumberFormat="1" applyFont="1" applyAlignment="1"/>
    <xf numFmtId="0" fontId="4" fillId="3" borderId="0" xfId="0" applyFont="1" applyFill="1"/>
    <xf numFmtId="164" fontId="1" fillId="3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/>
    <xf numFmtId="10" fontId="1" fillId="0" borderId="0" xfId="2" applyNumberFormat="1" applyFont="1" applyAlignment="1"/>
    <xf numFmtId="187" fontId="1" fillId="0" borderId="0" xfId="0" applyNumberFormat="1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 KRI KRI vs Price ATG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'Kri-Kri Milk Stock Price Histor'!$B$1</c:f>
              <c:strCache>
                <c:ptCount val="1"/>
                <c:pt idx="0">
                  <c:v>Price KRI KRI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'Kri-Kri Milk Stock Price Histor'!$A$2:$A$365</c:f>
              <c:numCache>
                <c:formatCode>dd\-mm\-yyyy</c:formatCode>
                <c:ptCount val="364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  <c:pt idx="53">
                  <c:v>44206</c:v>
                </c:pt>
                <c:pt idx="54">
                  <c:v>44213</c:v>
                </c:pt>
                <c:pt idx="55">
                  <c:v>44220</c:v>
                </c:pt>
                <c:pt idx="56">
                  <c:v>44227</c:v>
                </c:pt>
                <c:pt idx="57">
                  <c:v>44234</c:v>
                </c:pt>
                <c:pt idx="58">
                  <c:v>44241</c:v>
                </c:pt>
                <c:pt idx="59">
                  <c:v>44248</c:v>
                </c:pt>
                <c:pt idx="60">
                  <c:v>44255</c:v>
                </c:pt>
                <c:pt idx="61">
                  <c:v>44262</c:v>
                </c:pt>
                <c:pt idx="62">
                  <c:v>44269</c:v>
                </c:pt>
                <c:pt idx="63">
                  <c:v>44276</c:v>
                </c:pt>
                <c:pt idx="64">
                  <c:v>44283</c:v>
                </c:pt>
                <c:pt idx="65">
                  <c:v>44290</c:v>
                </c:pt>
                <c:pt idx="66">
                  <c:v>44297</c:v>
                </c:pt>
                <c:pt idx="67">
                  <c:v>44304</c:v>
                </c:pt>
                <c:pt idx="68">
                  <c:v>44311</c:v>
                </c:pt>
                <c:pt idx="69">
                  <c:v>44318</c:v>
                </c:pt>
                <c:pt idx="70">
                  <c:v>44325</c:v>
                </c:pt>
                <c:pt idx="71">
                  <c:v>44332</c:v>
                </c:pt>
                <c:pt idx="72">
                  <c:v>44339</c:v>
                </c:pt>
                <c:pt idx="73">
                  <c:v>44346</c:v>
                </c:pt>
                <c:pt idx="74">
                  <c:v>44353</c:v>
                </c:pt>
                <c:pt idx="75">
                  <c:v>44360</c:v>
                </c:pt>
                <c:pt idx="76">
                  <c:v>44367</c:v>
                </c:pt>
                <c:pt idx="77">
                  <c:v>44374</c:v>
                </c:pt>
                <c:pt idx="78">
                  <c:v>44381</c:v>
                </c:pt>
                <c:pt idx="79">
                  <c:v>44388</c:v>
                </c:pt>
                <c:pt idx="80">
                  <c:v>44395</c:v>
                </c:pt>
                <c:pt idx="81">
                  <c:v>44402</c:v>
                </c:pt>
                <c:pt idx="82">
                  <c:v>44409</c:v>
                </c:pt>
                <c:pt idx="83">
                  <c:v>44416</c:v>
                </c:pt>
                <c:pt idx="84">
                  <c:v>44423</c:v>
                </c:pt>
                <c:pt idx="85">
                  <c:v>44430</c:v>
                </c:pt>
                <c:pt idx="86">
                  <c:v>44437</c:v>
                </c:pt>
                <c:pt idx="87">
                  <c:v>44444</c:v>
                </c:pt>
                <c:pt idx="88">
                  <c:v>44451</c:v>
                </c:pt>
                <c:pt idx="89">
                  <c:v>44458</c:v>
                </c:pt>
                <c:pt idx="90">
                  <c:v>44465</c:v>
                </c:pt>
                <c:pt idx="91">
                  <c:v>44472</c:v>
                </c:pt>
                <c:pt idx="92">
                  <c:v>44479</c:v>
                </c:pt>
                <c:pt idx="93">
                  <c:v>44486</c:v>
                </c:pt>
                <c:pt idx="94">
                  <c:v>44493</c:v>
                </c:pt>
                <c:pt idx="95">
                  <c:v>44500</c:v>
                </c:pt>
                <c:pt idx="96">
                  <c:v>44507</c:v>
                </c:pt>
                <c:pt idx="97">
                  <c:v>44514</c:v>
                </c:pt>
                <c:pt idx="98">
                  <c:v>44521</c:v>
                </c:pt>
                <c:pt idx="99">
                  <c:v>44528</c:v>
                </c:pt>
                <c:pt idx="100">
                  <c:v>44535</c:v>
                </c:pt>
                <c:pt idx="101">
                  <c:v>44542</c:v>
                </c:pt>
                <c:pt idx="102">
                  <c:v>44549</c:v>
                </c:pt>
                <c:pt idx="103">
                  <c:v>44556</c:v>
                </c:pt>
                <c:pt idx="104">
                  <c:v>44563</c:v>
                </c:pt>
                <c:pt idx="105">
                  <c:v>44570</c:v>
                </c:pt>
                <c:pt idx="106">
                  <c:v>44577</c:v>
                </c:pt>
                <c:pt idx="107">
                  <c:v>44584</c:v>
                </c:pt>
                <c:pt idx="108">
                  <c:v>44591</c:v>
                </c:pt>
                <c:pt idx="109">
                  <c:v>44598</c:v>
                </c:pt>
                <c:pt idx="110">
                  <c:v>44605</c:v>
                </c:pt>
                <c:pt idx="111">
                  <c:v>44612</c:v>
                </c:pt>
                <c:pt idx="112">
                  <c:v>44619</c:v>
                </c:pt>
                <c:pt idx="113">
                  <c:v>44626</c:v>
                </c:pt>
                <c:pt idx="114">
                  <c:v>44633</c:v>
                </c:pt>
                <c:pt idx="115">
                  <c:v>44640</c:v>
                </c:pt>
                <c:pt idx="116">
                  <c:v>44647</c:v>
                </c:pt>
                <c:pt idx="117">
                  <c:v>44654</c:v>
                </c:pt>
                <c:pt idx="118">
                  <c:v>44661</c:v>
                </c:pt>
                <c:pt idx="119">
                  <c:v>44668</c:v>
                </c:pt>
                <c:pt idx="120">
                  <c:v>44675</c:v>
                </c:pt>
                <c:pt idx="121">
                  <c:v>44682</c:v>
                </c:pt>
                <c:pt idx="122">
                  <c:v>44689</c:v>
                </c:pt>
                <c:pt idx="123">
                  <c:v>44696</c:v>
                </c:pt>
                <c:pt idx="124">
                  <c:v>44703</c:v>
                </c:pt>
                <c:pt idx="125">
                  <c:v>44710</c:v>
                </c:pt>
                <c:pt idx="126">
                  <c:v>44717</c:v>
                </c:pt>
                <c:pt idx="127">
                  <c:v>44724</c:v>
                </c:pt>
                <c:pt idx="128">
                  <c:v>44731</c:v>
                </c:pt>
                <c:pt idx="129">
                  <c:v>44738</c:v>
                </c:pt>
                <c:pt idx="130">
                  <c:v>44745</c:v>
                </c:pt>
                <c:pt idx="131">
                  <c:v>44752</c:v>
                </c:pt>
                <c:pt idx="132">
                  <c:v>44759</c:v>
                </c:pt>
                <c:pt idx="133">
                  <c:v>44766</c:v>
                </c:pt>
                <c:pt idx="134">
                  <c:v>44773</c:v>
                </c:pt>
                <c:pt idx="135">
                  <c:v>44780</c:v>
                </c:pt>
                <c:pt idx="136">
                  <c:v>44787</c:v>
                </c:pt>
                <c:pt idx="137">
                  <c:v>44794</c:v>
                </c:pt>
                <c:pt idx="138">
                  <c:v>44801</c:v>
                </c:pt>
                <c:pt idx="139">
                  <c:v>44808</c:v>
                </c:pt>
                <c:pt idx="140">
                  <c:v>44815</c:v>
                </c:pt>
                <c:pt idx="141">
                  <c:v>44822</c:v>
                </c:pt>
                <c:pt idx="142">
                  <c:v>44829</c:v>
                </c:pt>
                <c:pt idx="143">
                  <c:v>44836</c:v>
                </c:pt>
                <c:pt idx="144">
                  <c:v>44843</c:v>
                </c:pt>
                <c:pt idx="145">
                  <c:v>44850</c:v>
                </c:pt>
                <c:pt idx="146">
                  <c:v>44857</c:v>
                </c:pt>
                <c:pt idx="147">
                  <c:v>44864</c:v>
                </c:pt>
                <c:pt idx="148">
                  <c:v>44871</c:v>
                </c:pt>
                <c:pt idx="149">
                  <c:v>44878</c:v>
                </c:pt>
                <c:pt idx="150">
                  <c:v>44885</c:v>
                </c:pt>
                <c:pt idx="151">
                  <c:v>44892</c:v>
                </c:pt>
                <c:pt idx="152">
                  <c:v>44899</c:v>
                </c:pt>
                <c:pt idx="153">
                  <c:v>44906</c:v>
                </c:pt>
                <c:pt idx="154">
                  <c:v>44913</c:v>
                </c:pt>
                <c:pt idx="155">
                  <c:v>44920</c:v>
                </c:pt>
                <c:pt idx="156">
                  <c:v>44927</c:v>
                </c:pt>
                <c:pt idx="157">
                  <c:v>44934</c:v>
                </c:pt>
                <c:pt idx="158">
                  <c:v>44941</c:v>
                </c:pt>
                <c:pt idx="159">
                  <c:v>44948</c:v>
                </c:pt>
                <c:pt idx="160">
                  <c:v>44955</c:v>
                </c:pt>
                <c:pt idx="161">
                  <c:v>44962</c:v>
                </c:pt>
                <c:pt idx="162">
                  <c:v>44969</c:v>
                </c:pt>
                <c:pt idx="163">
                  <c:v>44976</c:v>
                </c:pt>
                <c:pt idx="164">
                  <c:v>44983</c:v>
                </c:pt>
                <c:pt idx="165">
                  <c:v>44990</c:v>
                </c:pt>
                <c:pt idx="166">
                  <c:v>44997</c:v>
                </c:pt>
                <c:pt idx="167">
                  <c:v>45004</c:v>
                </c:pt>
                <c:pt idx="168">
                  <c:v>45011</c:v>
                </c:pt>
                <c:pt idx="169">
                  <c:v>45018</c:v>
                </c:pt>
                <c:pt idx="170">
                  <c:v>45025</c:v>
                </c:pt>
                <c:pt idx="171">
                  <c:v>45032</c:v>
                </c:pt>
                <c:pt idx="172">
                  <c:v>45039</c:v>
                </c:pt>
                <c:pt idx="173">
                  <c:v>45046</c:v>
                </c:pt>
                <c:pt idx="174">
                  <c:v>45053</c:v>
                </c:pt>
                <c:pt idx="175">
                  <c:v>45060</c:v>
                </c:pt>
                <c:pt idx="176">
                  <c:v>45067</c:v>
                </c:pt>
                <c:pt idx="177">
                  <c:v>45074</c:v>
                </c:pt>
                <c:pt idx="178">
                  <c:v>45081</c:v>
                </c:pt>
                <c:pt idx="179">
                  <c:v>45088</c:v>
                </c:pt>
                <c:pt idx="180">
                  <c:v>45095</c:v>
                </c:pt>
                <c:pt idx="181">
                  <c:v>45102</c:v>
                </c:pt>
                <c:pt idx="182">
                  <c:v>45109</c:v>
                </c:pt>
                <c:pt idx="183">
                  <c:v>45116</c:v>
                </c:pt>
                <c:pt idx="184">
                  <c:v>45123</c:v>
                </c:pt>
                <c:pt idx="185">
                  <c:v>45130</c:v>
                </c:pt>
                <c:pt idx="186">
                  <c:v>45137</c:v>
                </c:pt>
                <c:pt idx="187">
                  <c:v>45144</c:v>
                </c:pt>
                <c:pt idx="188">
                  <c:v>45151</c:v>
                </c:pt>
                <c:pt idx="189">
                  <c:v>45158</c:v>
                </c:pt>
                <c:pt idx="190">
                  <c:v>45165</c:v>
                </c:pt>
                <c:pt idx="191">
                  <c:v>45172</c:v>
                </c:pt>
                <c:pt idx="192">
                  <c:v>45179</c:v>
                </c:pt>
                <c:pt idx="193">
                  <c:v>45186</c:v>
                </c:pt>
                <c:pt idx="194">
                  <c:v>45193</c:v>
                </c:pt>
                <c:pt idx="195">
                  <c:v>45200</c:v>
                </c:pt>
                <c:pt idx="196">
                  <c:v>45207</c:v>
                </c:pt>
                <c:pt idx="197">
                  <c:v>45214</c:v>
                </c:pt>
                <c:pt idx="198">
                  <c:v>45221</c:v>
                </c:pt>
                <c:pt idx="199">
                  <c:v>45228</c:v>
                </c:pt>
                <c:pt idx="200">
                  <c:v>45235</c:v>
                </c:pt>
                <c:pt idx="201">
                  <c:v>45242</c:v>
                </c:pt>
                <c:pt idx="202">
                  <c:v>45249</c:v>
                </c:pt>
                <c:pt idx="203">
                  <c:v>45256</c:v>
                </c:pt>
                <c:pt idx="204">
                  <c:v>45263</c:v>
                </c:pt>
                <c:pt idx="205">
                  <c:v>45270</c:v>
                </c:pt>
                <c:pt idx="206">
                  <c:v>45277</c:v>
                </c:pt>
                <c:pt idx="207">
                  <c:v>45284</c:v>
                </c:pt>
                <c:pt idx="208">
                  <c:v>45291</c:v>
                </c:pt>
                <c:pt idx="209">
                  <c:v>45298</c:v>
                </c:pt>
                <c:pt idx="210">
                  <c:v>45305</c:v>
                </c:pt>
                <c:pt idx="211">
                  <c:v>45312</c:v>
                </c:pt>
                <c:pt idx="212">
                  <c:v>45319</c:v>
                </c:pt>
                <c:pt idx="213">
                  <c:v>45326</c:v>
                </c:pt>
                <c:pt idx="214">
                  <c:v>45333</c:v>
                </c:pt>
                <c:pt idx="215">
                  <c:v>45340</c:v>
                </c:pt>
                <c:pt idx="216">
                  <c:v>45347</c:v>
                </c:pt>
                <c:pt idx="217">
                  <c:v>45354</c:v>
                </c:pt>
                <c:pt idx="218">
                  <c:v>45361</c:v>
                </c:pt>
                <c:pt idx="219">
                  <c:v>45368</c:v>
                </c:pt>
                <c:pt idx="220">
                  <c:v>45375</c:v>
                </c:pt>
                <c:pt idx="221">
                  <c:v>45382</c:v>
                </c:pt>
                <c:pt idx="222">
                  <c:v>45389</c:v>
                </c:pt>
                <c:pt idx="223">
                  <c:v>45396</c:v>
                </c:pt>
                <c:pt idx="224">
                  <c:v>45403</c:v>
                </c:pt>
                <c:pt idx="225">
                  <c:v>45410</c:v>
                </c:pt>
                <c:pt idx="226">
                  <c:v>45417</c:v>
                </c:pt>
                <c:pt idx="227">
                  <c:v>45424</c:v>
                </c:pt>
                <c:pt idx="228">
                  <c:v>45431</c:v>
                </c:pt>
                <c:pt idx="229">
                  <c:v>45438</c:v>
                </c:pt>
                <c:pt idx="230">
                  <c:v>45445</c:v>
                </c:pt>
                <c:pt idx="231">
                  <c:v>45452</c:v>
                </c:pt>
                <c:pt idx="232">
                  <c:v>45459</c:v>
                </c:pt>
                <c:pt idx="233">
                  <c:v>45466</c:v>
                </c:pt>
                <c:pt idx="234">
                  <c:v>45473</c:v>
                </c:pt>
                <c:pt idx="235">
                  <c:v>45480</c:v>
                </c:pt>
                <c:pt idx="236">
                  <c:v>45487</c:v>
                </c:pt>
                <c:pt idx="237">
                  <c:v>45494</c:v>
                </c:pt>
                <c:pt idx="238">
                  <c:v>45501</c:v>
                </c:pt>
                <c:pt idx="239">
                  <c:v>45508</c:v>
                </c:pt>
                <c:pt idx="240">
                  <c:v>45515</c:v>
                </c:pt>
                <c:pt idx="241">
                  <c:v>45522</c:v>
                </c:pt>
                <c:pt idx="242">
                  <c:v>45529</c:v>
                </c:pt>
                <c:pt idx="243">
                  <c:v>45536</c:v>
                </c:pt>
                <c:pt idx="244">
                  <c:v>45543</c:v>
                </c:pt>
                <c:pt idx="245">
                  <c:v>45550</c:v>
                </c:pt>
                <c:pt idx="246">
                  <c:v>45557</c:v>
                </c:pt>
                <c:pt idx="247">
                  <c:v>45564</c:v>
                </c:pt>
                <c:pt idx="248">
                  <c:v>45571</c:v>
                </c:pt>
                <c:pt idx="249">
                  <c:v>45578</c:v>
                </c:pt>
                <c:pt idx="250">
                  <c:v>45585</c:v>
                </c:pt>
                <c:pt idx="251">
                  <c:v>45592</c:v>
                </c:pt>
                <c:pt idx="252">
                  <c:v>45599</c:v>
                </c:pt>
                <c:pt idx="253">
                  <c:v>45606</c:v>
                </c:pt>
                <c:pt idx="254">
                  <c:v>45613</c:v>
                </c:pt>
                <c:pt idx="255">
                  <c:v>45620</c:v>
                </c:pt>
                <c:pt idx="256">
                  <c:v>45627</c:v>
                </c:pt>
                <c:pt idx="257">
                  <c:v>45634</c:v>
                </c:pt>
                <c:pt idx="258">
                  <c:v>45641</c:v>
                </c:pt>
                <c:pt idx="259">
                  <c:v>45648</c:v>
                </c:pt>
                <c:pt idx="260">
                  <c:v>45655</c:v>
                </c:pt>
                <c:pt idx="261" formatCode="mm\-dd\-yyyy">
                  <c:v>45298</c:v>
                </c:pt>
                <c:pt idx="262" formatCode="mm\-dd\-yyyy">
                  <c:v>45305</c:v>
                </c:pt>
                <c:pt idx="263" formatCode="mm\-dd\-yyyy">
                  <c:v>45312</c:v>
                </c:pt>
                <c:pt idx="264" formatCode="mm\-dd\-yyyy">
                  <c:v>45319</c:v>
                </c:pt>
                <c:pt idx="265" formatCode="mm\-dd\-yyyy">
                  <c:v>45326</c:v>
                </c:pt>
                <c:pt idx="266" formatCode="mm\-dd\-yyyy">
                  <c:v>45333</c:v>
                </c:pt>
                <c:pt idx="267" formatCode="mm\-dd\-yyyy">
                  <c:v>45340</c:v>
                </c:pt>
                <c:pt idx="268" formatCode="mm\-dd\-yyyy">
                  <c:v>45347</c:v>
                </c:pt>
                <c:pt idx="269" formatCode="mm\-dd\-yyyy">
                  <c:v>45354</c:v>
                </c:pt>
                <c:pt idx="270" formatCode="mm\-dd\-yyyy">
                  <c:v>45361</c:v>
                </c:pt>
                <c:pt idx="271" formatCode="mm\-dd\-yyyy">
                  <c:v>45368</c:v>
                </c:pt>
                <c:pt idx="272" formatCode="mm\-dd\-yyyy">
                  <c:v>45375</c:v>
                </c:pt>
                <c:pt idx="273" formatCode="mm\-dd\-yyyy">
                  <c:v>45382</c:v>
                </c:pt>
                <c:pt idx="274" formatCode="mm\-dd\-yyyy">
                  <c:v>45389</c:v>
                </c:pt>
                <c:pt idx="275" formatCode="mm\-dd\-yyyy">
                  <c:v>45396</c:v>
                </c:pt>
                <c:pt idx="276" formatCode="mm\-dd\-yyyy">
                  <c:v>45403</c:v>
                </c:pt>
                <c:pt idx="277" formatCode="mm\-dd\-yyyy">
                  <c:v>45410</c:v>
                </c:pt>
                <c:pt idx="278" formatCode="mm\-dd\-yyyy">
                  <c:v>45417</c:v>
                </c:pt>
                <c:pt idx="279" formatCode="mm\-dd\-yyyy">
                  <c:v>45424</c:v>
                </c:pt>
                <c:pt idx="280" formatCode="mm\-dd\-yyyy">
                  <c:v>45431</c:v>
                </c:pt>
                <c:pt idx="281" formatCode="mm\-dd\-yyyy">
                  <c:v>45438</c:v>
                </c:pt>
                <c:pt idx="282" formatCode="mm\-dd\-yyyy">
                  <c:v>45445</c:v>
                </c:pt>
                <c:pt idx="283" formatCode="mm\-dd\-yyyy">
                  <c:v>45452</c:v>
                </c:pt>
                <c:pt idx="284" formatCode="mm\-dd\-yyyy">
                  <c:v>45459</c:v>
                </c:pt>
                <c:pt idx="285" formatCode="mm\-dd\-yyyy">
                  <c:v>45466</c:v>
                </c:pt>
                <c:pt idx="286" formatCode="mm\-dd\-yyyy">
                  <c:v>45473</c:v>
                </c:pt>
                <c:pt idx="287" formatCode="mm\-dd\-yyyy">
                  <c:v>45480</c:v>
                </c:pt>
                <c:pt idx="288" formatCode="mm\-dd\-yyyy">
                  <c:v>45487</c:v>
                </c:pt>
                <c:pt idx="289" formatCode="mm\-dd\-yyyy">
                  <c:v>45494</c:v>
                </c:pt>
                <c:pt idx="290" formatCode="mm\-dd\-yyyy">
                  <c:v>45501</c:v>
                </c:pt>
                <c:pt idx="291" formatCode="mm\-dd\-yyyy">
                  <c:v>45508</c:v>
                </c:pt>
                <c:pt idx="292" formatCode="mm\-dd\-yyyy">
                  <c:v>45515</c:v>
                </c:pt>
                <c:pt idx="293" formatCode="mm\-dd\-yyyy">
                  <c:v>45522</c:v>
                </c:pt>
                <c:pt idx="294" formatCode="mm\-dd\-yyyy">
                  <c:v>45529</c:v>
                </c:pt>
                <c:pt idx="295" formatCode="mm\-dd\-yyyy">
                  <c:v>45536</c:v>
                </c:pt>
                <c:pt idx="296" formatCode="mm\-dd\-yyyy">
                  <c:v>45543</c:v>
                </c:pt>
                <c:pt idx="297" formatCode="mm\-dd\-yyyy">
                  <c:v>45550</c:v>
                </c:pt>
                <c:pt idx="298" formatCode="mm\-dd\-yyyy">
                  <c:v>45557</c:v>
                </c:pt>
                <c:pt idx="299" formatCode="mm\-dd\-yyyy">
                  <c:v>45564</c:v>
                </c:pt>
                <c:pt idx="300" formatCode="mm\-dd\-yyyy">
                  <c:v>45571</c:v>
                </c:pt>
                <c:pt idx="301" formatCode="mm\-dd\-yyyy">
                  <c:v>45578</c:v>
                </c:pt>
                <c:pt idx="302" formatCode="mm\-dd\-yyyy">
                  <c:v>45585</c:v>
                </c:pt>
                <c:pt idx="303" formatCode="mm\-dd\-yyyy">
                  <c:v>45592</c:v>
                </c:pt>
                <c:pt idx="304" formatCode="mm\-dd\-yyyy">
                  <c:v>45599</c:v>
                </c:pt>
                <c:pt idx="305" formatCode="mm\-dd\-yyyy">
                  <c:v>45606</c:v>
                </c:pt>
                <c:pt idx="306" formatCode="mm\-dd\-yyyy">
                  <c:v>45613</c:v>
                </c:pt>
                <c:pt idx="307" formatCode="mm\-dd\-yyyy">
                  <c:v>45620</c:v>
                </c:pt>
                <c:pt idx="308" formatCode="mm\-dd\-yyyy">
                  <c:v>45627</c:v>
                </c:pt>
                <c:pt idx="309" formatCode="mm\-dd\-yyyy">
                  <c:v>45634</c:v>
                </c:pt>
                <c:pt idx="310" formatCode="mm\-dd\-yyyy">
                  <c:v>45641</c:v>
                </c:pt>
                <c:pt idx="311" formatCode="mm\-dd\-yyyy">
                  <c:v>45648</c:v>
                </c:pt>
                <c:pt idx="312" formatCode="mm\-dd\-yyyy">
                  <c:v>45655</c:v>
                </c:pt>
                <c:pt idx="313" formatCode="mm\-dd\-yyyy">
                  <c:v>45662</c:v>
                </c:pt>
                <c:pt idx="314" formatCode="mm\-dd\-yyyy">
                  <c:v>45669</c:v>
                </c:pt>
                <c:pt idx="315" formatCode="mm\-dd\-yyyy">
                  <c:v>45676</c:v>
                </c:pt>
                <c:pt idx="316" formatCode="mm\-dd\-yyyy">
                  <c:v>45683</c:v>
                </c:pt>
                <c:pt idx="317" formatCode="mm\-dd\-yyyy">
                  <c:v>45690</c:v>
                </c:pt>
                <c:pt idx="318" formatCode="mm\-dd\-yyyy">
                  <c:v>45697</c:v>
                </c:pt>
                <c:pt idx="319" formatCode="mm\-dd\-yyyy">
                  <c:v>45704</c:v>
                </c:pt>
                <c:pt idx="320" formatCode="mm\-dd\-yyyy">
                  <c:v>45711</c:v>
                </c:pt>
                <c:pt idx="321" formatCode="mm\-dd\-yyyy">
                  <c:v>45718</c:v>
                </c:pt>
                <c:pt idx="322" formatCode="mm\-dd\-yyyy">
                  <c:v>45725</c:v>
                </c:pt>
                <c:pt idx="323" formatCode="mm\-dd\-yyyy">
                  <c:v>45732</c:v>
                </c:pt>
                <c:pt idx="324" formatCode="mm\-dd\-yyyy">
                  <c:v>45739</c:v>
                </c:pt>
                <c:pt idx="325" formatCode="mm\-dd\-yyyy">
                  <c:v>45746</c:v>
                </c:pt>
                <c:pt idx="326" formatCode="mm\-dd\-yyyy">
                  <c:v>45753</c:v>
                </c:pt>
                <c:pt idx="327" formatCode="mm\-dd\-yyyy">
                  <c:v>45760</c:v>
                </c:pt>
                <c:pt idx="328" formatCode="mm\-dd\-yyyy">
                  <c:v>45767</c:v>
                </c:pt>
                <c:pt idx="329" formatCode="mm\-dd\-yyyy">
                  <c:v>45774</c:v>
                </c:pt>
                <c:pt idx="330" formatCode="mm\-dd\-yyyy">
                  <c:v>45781</c:v>
                </c:pt>
                <c:pt idx="331" formatCode="mm\-dd\-yyyy">
                  <c:v>45788</c:v>
                </c:pt>
                <c:pt idx="332" formatCode="mm\-dd\-yyyy">
                  <c:v>45795</c:v>
                </c:pt>
                <c:pt idx="333" formatCode="mm\-dd\-yyyy">
                  <c:v>45802</c:v>
                </c:pt>
                <c:pt idx="334" formatCode="mm\-dd\-yyyy">
                  <c:v>45809</c:v>
                </c:pt>
                <c:pt idx="335" formatCode="mm\-dd\-yyyy">
                  <c:v>45816</c:v>
                </c:pt>
                <c:pt idx="336" formatCode="mm\-dd\-yyyy">
                  <c:v>45823</c:v>
                </c:pt>
                <c:pt idx="337" formatCode="mm\-dd\-yyyy">
                  <c:v>45830</c:v>
                </c:pt>
                <c:pt idx="338" formatCode="mm\-dd\-yyyy">
                  <c:v>45837</c:v>
                </c:pt>
                <c:pt idx="339" formatCode="mm\-dd\-yyyy">
                  <c:v>45844</c:v>
                </c:pt>
                <c:pt idx="340" formatCode="mm\-dd\-yyyy">
                  <c:v>45851</c:v>
                </c:pt>
                <c:pt idx="341" formatCode="mm\-dd\-yyyy">
                  <c:v>45858</c:v>
                </c:pt>
                <c:pt idx="342" formatCode="mm\-dd\-yyyy">
                  <c:v>45865</c:v>
                </c:pt>
                <c:pt idx="343" formatCode="mm\-dd\-yyyy">
                  <c:v>45872</c:v>
                </c:pt>
                <c:pt idx="344" formatCode="mm\-dd\-yyyy">
                  <c:v>45879</c:v>
                </c:pt>
                <c:pt idx="345" formatCode="mm\-dd\-yyyy">
                  <c:v>45886</c:v>
                </c:pt>
                <c:pt idx="346" formatCode="mm\-dd\-yyyy">
                  <c:v>45893</c:v>
                </c:pt>
                <c:pt idx="347" formatCode="mm\-dd\-yyyy">
                  <c:v>45900</c:v>
                </c:pt>
                <c:pt idx="348" formatCode="mm\-dd\-yyyy">
                  <c:v>45907</c:v>
                </c:pt>
                <c:pt idx="349" formatCode="mm\-dd\-yyyy">
                  <c:v>45914</c:v>
                </c:pt>
                <c:pt idx="350" formatCode="mm\-dd\-yyyy">
                  <c:v>45921</c:v>
                </c:pt>
                <c:pt idx="351" formatCode="mm\-dd\-yyyy">
                  <c:v>45928</c:v>
                </c:pt>
                <c:pt idx="352" formatCode="mm\-dd\-yyyy">
                  <c:v>45935</c:v>
                </c:pt>
                <c:pt idx="353" formatCode="mm\-dd\-yyyy">
                  <c:v>45942</c:v>
                </c:pt>
                <c:pt idx="354" formatCode="mm\-dd\-yyyy">
                  <c:v>45949</c:v>
                </c:pt>
                <c:pt idx="355" formatCode="mm\-dd\-yyyy">
                  <c:v>45956</c:v>
                </c:pt>
                <c:pt idx="356" formatCode="mm\-dd\-yyyy">
                  <c:v>45963</c:v>
                </c:pt>
                <c:pt idx="357" formatCode="mm\-dd\-yyyy">
                  <c:v>45970</c:v>
                </c:pt>
                <c:pt idx="358" formatCode="mm\-dd\-yyyy">
                  <c:v>45977</c:v>
                </c:pt>
                <c:pt idx="359" formatCode="mm\-dd\-yyyy">
                  <c:v>45984</c:v>
                </c:pt>
                <c:pt idx="360" formatCode="mm\-dd\-yyyy">
                  <c:v>45991</c:v>
                </c:pt>
                <c:pt idx="361" formatCode="mm\-dd\-yyyy">
                  <c:v>45998</c:v>
                </c:pt>
                <c:pt idx="362" formatCode="mm\-dd\-yyyy">
                  <c:v>46005</c:v>
                </c:pt>
                <c:pt idx="363" formatCode="mm\-dd\-yyyy">
                  <c:v>46012</c:v>
                </c:pt>
              </c:numCache>
            </c:numRef>
          </c:cat>
          <c:val>
            <c:numRef>
              <c:f>'Kri-Kri Milk Stock Price Histor'!$B$2:$B$365</c:f>
              <c:numCache>
                <c:formatCode>General</c:formatCode>
                <c:ptCount val="364"/>
                <c:pt idx="0">
                  <c:v>5.38</c:v>
                </c:pt>
                <c:pt idx="1">
                  <c:v>5.5</c:v>
                </c:pt>
                <c:pt idx="2">
                  <c:v>5.66</c:v>
                </c:pt>
                <c:pt idx="3">
                  <c:v>5.42</c:v>
                </c:pt>
                <c:pt idx="4">
                  <c:v>5.46</c:v>
                </c:pt>
                <c:pt idx="5">
                  <c:v>5.58</c:v>
                </c:pt>
                <c:pt idx="6">
                  <c:v>5.42</c:v>
                </c:pt>
                <c:pt idx="7">
                  <c:v>4.6399999999999997</c:v>
                </c:pt>
                <c:pt idx="8">
                  <c:v>4.4800000000000004</c:v>
                </c:pt>
                <c:pt idx="9">
                  <c:v>3.85</c:v>
                </c:pt>
                <c:pt idx="10">
                  <c:v>4.55</c:v>
                </c:pt>
                <c:pt idx="11">
                  <c:v>4.3499999999999996</c:v>
                </c:pt>
                <c:pt idx="12">
                  <c:v>4.3</c:v>
                </c:pt>
                <c:pt idx="13">
                  <c:v>4.5999999999999996</c:v>
                </c:pt>
                <c:pt idx="14">
                  <c:v>4.6500000000000004</c:v>
                </c:pt>
                <c:pt idx="15">
                  <c:v>4.7699999999999996</c:v>
                </c:pt>
                <c:pt idx="16">
                  <c:v>4.8600000000000003</c:v>
                </c:pt>
                <c:pt idx="17">
                  <c:v>4.9800000000000004</c:v>
                </c:pt>
                <c:pt idx="18">
                  <c:v>4.9000000000000004</c:v>
                </c:pt>
                <c:pt idx="19">
                  <c:v>5.0599999999999996</c:v>
                </c:pt>
                <c:pt idx="20">
                  <c:v>5.34</c:v>
                </c:pt>
                <c:pt idx="21">
                  <c:v>6</c:v>
                </c:pt>
                <c:pt idx="22">
                  <c:v>5.48</c:v>
                </c:pt>
                <c:pt idx="23">
                  <c:v>5.4</c:v>
                </c:pt>
                <c:pt idx="24">
                  <c:v>5.72</c:v>
                </c:pt>
                <c:pt idx="25">
                  <c:v>5.82</c:v>
                </c:pt>
                <c:pt idx="26">
                  <c:v>5.9</c:v>
                </c:pt>
                <c:pt idx="27">
                  <c:v>5.94</c:v>
                </c:pt>
                <c:pt idx="28">
                  <c:v>5.82</c:v>
                </c:pt>
                <c:pt idx="29">
                  <c:v>5.74</c:v>
                </c:pt>
                <c:pt idx="30">
                  <c:v>6.24</c:v>
                </c:pt>
                <c:pt idx="31">
                  <c:v>5.9</c:v>
                </c:pt>
                <c:pt idx="32">
                  <c:v>5.9</c:v>
                </c:pt>
                <c:pt idx="33">
                  <c:v>5.94</c:v>
                </c:pt>
                <c:pt idx="34">
                  <c:v>5.98</c:v>
                </c:pt>
                <c:pt idx="35">
                  <c:v>5.8</c:v>
                </c:pt>
                <c:pt idx="36">
                  <c:v>6.06</c:v>
                </c:pt>
                <c:pt idx="37">
                  <c:v>6.02</c:v>
                </c:pt>
                <c:pt idx="38">
                  <c:v>6.16</c:v>
                </c:pt>
                <c:pt idx="39">
                  <c:v>6.56</c:v>
                </c:pt>
                <c:pt idx="40">
                  <c:v>6.3</c:v>
                </c:pt>
                <c:pt idx="41">
                  <c:v>6.34</c:v>
                </c:pt>
                <c:pt idx="42">
                  <c:v>6.18</c:v>
                </c:pt>
                <c:pt idx="43">
                  <c:v>6.26</c:v>
                </c:pt>
                <c:pt idx="44">
                  <c:v>6.3</c:v>
                </c:pt>
                <c:pt idx="45">
                  <c:v>6.42</c:v>
                </c:pt>
                <c:pt idx="46">
                  <c:v>6.42</c:v>
                </c:pt>
                <c:pt idx="47">
                  <c:v>6.4</c:v>
                </c:pt>
                <c:pt idx="48">
                  <c:v>6.4</c:v>
                </c:pt>
                <c:pt idx="49">
                  <c:v>6.66</c:v>
                </c:pt>
                <c:pt idx="50">
                  <c:v>6.44</c:v>
                </c:pt>
                <c:pt idx="51">
                  <c:v>6.54</c:v>
                </c:pt>
                <c:pt idx="52">
                  <c:v>6.6</c:v>
                </c:pt>
                <c:pt idx="53">
                  <c:v>6.6</c:v>
                </c:pt>
                <c:pt idx="54">
                  <c:v>6.62</c:v>
                </c:pt>
                <c:pt idx="55">
                  <c:v>6.66</c:v>
                </c:pt>
                <c:pt idx="56">
                  <c:v>6.94</c:v>
                </c:pt>
                <c:pt idx="57">
                  <c:v>7.1</c:v>
                </c:pt>
                <c:pt idx="58">
                  <c:v>7</c:v>
                </c:pt>
                <c:pt idx="59">
                  <c:v>7.28</c:v>
                </c:pt>
                <c:pt idx="60">
                  <c:v>7.26</c:v>
                </c:pt>
                <c:pt idx="61">
                  <c:v>7.26</c:v>
                </c:pt>
                <c:pt idx="62">
                  <c:v>7.4</c:v>
                </c:pt>
                <c:pt idx="63">
                  <c:v>7.46</c:v>
                </c:pt>
                <c:pt idx="64">
                  <c:v>7.7</c:v>
                </c:pt>
                <c:pt idx="65">
                  <c:v>7.76</c:v>
                </c:pt>
                <c:pt idx="66">
                  <c:v>7.6</c:v>
                </c:pt>
                <c:pt idx="67">
                  <c:v>7.5</c:v>
                </c:pt>
                <c:pt idx="68">
                  <c:v>7.72</c:v>
                </c:pt>
                <c:pt idx="69">
                  <c:v>7.6</c:v>
                </c:pt>
                <c:pt idx="70">
                  <c:v>7.46</c:v>
                </c:pt>
                <c:pt idx="71">
                  <c:v>7.44</c:v>
                </c:pt>
                <c:pt idx="72">
                  <c:v>7.64</c:v>
                </c:pt>
                <c:pt idx="73">
                  <c:v>7.74</c:v>
                </c:pt>
                <c:pt idx="74">
                  <c:v>7.9</c:v>
                </c:pt>
                <c:pt idx="75">
                  <c:v>8.0399999999999991</c:v>
                </c:pt>
                <c:pt idx="76">
                  <c:v>8.5</c:v>
                </c:pt>
                <c:pt idx="77">
                  <c:v>8.8000000000000007</c:v>
                </c:pt>
                <c:pt idx="78">
                  <c:v>8.64</c:v>
                </c:pt>
                <c:pt idx="79">
                  <c:v>8.6</c:v>
                </c:pt>
                <c:pt idx="80">
                  <c:v>8.66</c:v>
                </c:pt>
                <c:pt idx="81">
                  <c:v>8.8000000000000007</c:v>
                </c:pt>
                <c:pt idx="82">
                  <c:v>8.74</c:v>
                </c:pt>
                <c:pt idx="83">
                  <c:v>8.44</c:v>
                </c:pt>
                <c:pt idx="84">
                  <c:v>8.5</c:v>
                </c:pt>
                <c:pt idx="85">
                  <c:v>8.5</c:v>
                </c:pt>
                <c:pt idx="86">
                  <c:v>8.52</c:v>
                </c:pt>
                <c:pt idx="87">
                  <c:v>8.1999999999999993</c:v>
                </c:pt>
                <c:pt idx="88">
                  <c:v>8.3800000000000008</c:v>
                </c:pt>
                <c:pt idx="89">
                  <c:v>7.64</c:v>
                </c:pt>
                <c:pt idx="90">
                  <c:v>7.56</c:v>
                </c:pt>
                <c:pt idx="91">
                  <c:v>7.7</c:v>
                </c:pt>
                <c:pt idx="92">
                  <c:v>7.96</c:v>
                </c:pt>
                <c:pt idx="93">
                  <c:v>8.3000000000000007</c:v>
                </c:pt>
                <c:pt idx="94">
                  <c:v>7.98</c:v>
                </c:pt>
                <c:pt idx="95">
                  <c:v>7.96</c:v>
                </c:pt>
                <c:pt idx="96">
                  <c:v>8.2799999999999994</c:v>
                </c:pt>
                <c:pt idx="97">
                  <c:v>8.26</c:v>
                </c:pt>
                <c:pt idx="98">
                  <c:v>8.06</c:v>
                </c:pt>
                <c:pt idx="99">
                  <c:v>8.3000000000000007</c:v>
                </c:pt>
                <c:pt idx="100">
                  <c:v>8.1</c:v>
                </c:pt>
                <c:pt idx="101">
                  <c:v>8.06</c:v>
                </c:pt>
                <c:pt idx="102">
                  <c:v>8.5</c:v>
                </c:pt>
                <c:pt idx="103">
                  <c:v>8.5</c:v>
                </c:pt>
                <c:pt idx="104">
                  <c:v>8.42</c:v>
                </c:pt>
                <c:pt idx="105">
                  <c:v>8.4600000000000009</c:v>
                </c:pt>
                <c:pt idx="106">
                  <c:v>8.2200000000000006</c:v>
                </c:pt>
                <c:pt idx="107">
                  <c:v>8.3000000000000007</c:v>
                </c:pt>
                <c:pt idx="108">
                  <c:v>8.3800000000000008</c:v>
                </c:pt>
                <c:pt idx="109">
                  <c:v>8.1999999999999993</c:v>
                </c:pt>
                <c:pt idx="110">
                  <c:v>7.98</c:v>
                </c:pt>
                <c:pt idx="111">
                  <c:v>7.6</c:v>
                </c:pt>
                <c:pt idx="112">
                  <c:v>7.5</c:v>
                </c:pt>
                <c:pt idx="113">
                  <c:v>7.38</c:v>
                </c:pt>
                <c:pt idx="114">
                  <c:v>7.48</c:v>
                </c:pt>
                <c:pt idx="115">
                  <c:v>7.16</c:v>
                </c:pt>
                <c:pt idx="116">
                  <c:v>7.5</c:v>
                </c:pt>
                <c:pt idx="117">
                  <c:v>7.22</c:v>
                </c:pt>
                <c:pt idx="118">
                  <c:v>7.54</c:v>
                </c:pt>
                <c:pt idx="119">
                  <c:v>7.28</c:v>
                </c:pt>
                <c:pt idx="120">
                  <c:v>7</c:v>
                </c:pt>
                <c:pt idx="121">
                  <c:v>6.5</c:v>
                </c:pt>
                <c:pt idx="122">
                  <c:v>6.46</c:v>
                </c:pt>
                <c:pt idx="123">
                  <c:v>6.4</c:v>
                </c:pt>
                <c:pt idx="124">
                  <c:v>6.44</c:v>
                </c:pt>
                <c:pt idx="125">
                  <c:v>6</c:v>
                </c:pt>
                <c:pt idx="126">
                  <c:v>5.96</c:v>
                </c:pt>
                <c:pt idx="127">
                  <c:v>5.72</c:v>
                </c:pt>
                <c:pt idx="128">
                  <c:v>5.66</c:v>
                </c:pt>
                <c:pt idx="129">
                  <c:v>5.5</c:v>
                </c:pt>
                <c:pt idx="130">
                  <c:v>5.6</c:v>
                </c:pt>
                <c:pt idx="131">
                  <c:v>5.84</c:v>
                </c:pt>
                <c:pt idx="132">
                  <c:v>5.9</c:v>
                </c:pt>
                <c:pt idx="133">
                  <c:v>5.7</c:v>
                </c:pt>
                <c:pt idx="134">
                  <c:v>5.98</c:v>
                </c:pt>
                <c:pt idx="135">
                  <c:v>5.96</c:v>
                </c:pt>
                <c:pt idx="136">
                  <c:v>6.06</c:v>
                </c:pt>
                <c:pt idx="137">
                  <c:v>5.92</c:v>
                </c:pt>
                <c:pt idx="138">
                  <c:v>5.7</c:v>
                </c:pt>
                <c:pt idx="139">
                  <c:v>5.32</c:v>
                </c:pt>
                <c:pt idx="140">
                  <c:v>5.36</c:v>
                </c:pt>
                <c:pt idx="141">
                  <c:v>5.08</c:v>
                </c:pt>
                <c:pt idx="142">
                  <c:v>5.0599999999999996</c:v>
                </c:pt>
                <c:pt idx="143">
                  <c:v>5.5</c:v>
                </c:pt>
                <c:pt idx="144">
                  <c:v>5.42</c:v>
                </c:pt>
                <c:pt idx="145">
                  <c:v>5.36</c:v>
                </c:pt>
                <c:pt idx="146">
                  <c:v>5.42</c:v>
                </c:pt>
                <c:pt idx="147">
                  <c:v>5.4</c:v>
                </c:pt>
                <c:pt idx="148">
                  <c:v>5.76</c:v>
                </c:pt>
                <c:pt idx="149">
                  <c:v>5.7</c:v>
                </c:pt>
                <c:pt idx="150">
                  <c:v>6.16</c:v>
                </c:pt>
                <c:pt idx="151">
                  <c:v>5.88</c:v>
                </c:pt>
                <c:pt idx="152">
                  <c:v>6</c:v>
                </c:pt>
                <c:pt idx="153">
                  <c:v>6.36</c:v>
                </c:pt>
                <c:pt idx="154">
                  <c:v>6.32</c:v>
                </c:pt>
                <c:pt idx="155">
                  <c:v>6.2</c:v>
                </c:pt>
                <c:pt idx="156">
                  <c:v>6.48</c:v>
                </c:pt>
                <c:pt idx="157">
                  <c:v>6.5</c:v>
                </c:pt>
                <c:pt idx="158">
                  <c:v>6.44</c:v>
                </c:pt>
                <c:pt idx="159">
                  <c:v>6.12</c:v>
                </c:pt>
                <c:pt idx="160">
                  <c:v>6.2</c:v>
                </c:pt>
                <c:pt idx="161">
                  <c:v>6.1</c:v>
                </c:pt>
                <c:pt idx="162">
                  <c:v>6.22</c:v>
                </c:pt>
                <c:pt idx="163">
                  <c:v>6.34</c:v>
                </c:pt>
                <c:pt idx="164">
                  <c:v>6.38</c:v>
                </c:pt>
                <c:pt idx="165">
                  <c:v>6.58</c:v>
                </c:pt>
                <c:pt idx="166">
                  <c:v>6.1</c:v>
                </c:pt>
                <c:pt idx="167">
                  <c:v>6.4</c:v>
                </c:pt>
                <c:pt idx="168">
                  <c:v>6.34</c:v>
                </c:pt>
                <c:pt idx="169">
                  <c:v>6.32</c:v>
                </c:pt>
                <c:pt idx="170">
                  <c:v>6.5</c:v>
                </c:pt>
                <c:pt idx="171">
                  <c:v>6.46</c:v>
                </c:pt>
                <c:pt idx="172">
                  <c:v>6.6</c:v>
                </c:pt>
                <c:pt idx="173">
                  <c:v>6.92</c:v>
                </c:pt>
                <c:pt idx="174">
                  <c:v>7.1</c:v>
                </c:pt>
                <c:pt idx="175">
                  <c:v>7.18</c:v>
                </c:pt>
                <c:pt idx="176">
                  <c:v>8.16</c:v>
                </c:pt>
                <c:pt idx="177">
                  <c:v>8</c:v>
                </c:pt>
                <c:pt idx="178">
                  <c:v>8.06</c:v>
                </c:pt>
                <c:pt idx="179">
                  <c:v>7.96</c:v>
                </c:pt>
                <c:pt idx="180">
                  <c:v>7.94</c:v>
                </c:pt>
                <c:pt idx="181">
                  <c:v>7.96</c:v>
                </c:pt>
                <c:pt idx="182">
                  <c:v>7.98</c:v>
                </c:pt>
                <c:pt idx="183">
                  <c:v>8.2200000000000006</c:v>
                </c:pt>
                <c:pt idx="184">
                  <c:v>8.36</c:v>
                </c:pt>
                <c:pt idx="185">
                  <c:v>8.6</c:v>
                </c:pt>
                <c:pt idx="186">
                  <c:v>8.6</c:v>
                </c:pt>
                <c:pt idx="187">
                  <c:v>8.34</c:v>
                </c:pt>
                <c:pt idx="188">
                  <c:v>8.1999999999999993</c:v>
                </c:pt>
                <c:pt idx="189">
                  <c:v>8.4</c:v>
                </c:pt>
                <c:pt idx="190">
                  <c:v>8.26</c:v>
                </c:pt>
                <c:pt idx="191">
                  <c:v>7.88</c:v>
                </c:pt>
                <c:pt idx="192">
                  <c:v>7.8</c:v>
                </c:pt>
                <c:pt idx="193">
                  <c:v>7.82</c:v>
                </c:pt>
                <c:pt idx="194">
                  <c:v>8.32</c:v>
                </c:pt>
                <c:pt idx="195">
                  <c:v>8.1999999999999993</c:v>
                </c:pt>
                <c:pt idx="196">
                  <c:v>7.92</c:v>
                </c:pt>
                <c:pt idx="197">
                  <c:v>8.1</c:v>
                </c:pt>
                <c:pt idx="198">
                  <c:v>8.08</c:v>
                </c:pt>
                <c:pt idx="199">
                  <c:v>8.1199999999999992</c:v>
                </c:pt>
                <c:pt idx="200">
                  <c:v>8.56</c:v>
                </c:pt>
                <c:pt idx="201">
                  <c:v>8.5</c:v>
                </c:pt>
                <c:pt idx="202">
                  <c:v>8.98</c:v>
                </c:pt>
                <c:pt idx="203">
                  <c:v>9.44</c:v>
                </c:pt>
                <c:pt idx="204">
                  <c:v>9.42</c:v>
                </c:pt>
                <c:pt idx="205">
                  <c:v>9.5</c:v>
                </c:pt>
                <c:pt idx="206">
                  <c:v>9.5399999999999991</c:v>
                </c:pt>
                <c:pt idx="207">
                  <c:v>9.58</c:v>
                </c:pt>
                <c:pt idx="208">
                  <c:v>9.8000000000000007</c:v>
                </c:pt>
                <c:pt idx="209">
                  <c:v>9.8800000000000008</c:v>
                </c:pt>
                <c:pt idx="210">
                  <c:v>9.92</c:v>
                </c:pt>
                <c:pt idx="211">
                  <c:v>9.8800000000000008</c:v>
                </c:pt>
                <c:pt idx="212">
                  <c:v>9.9</c:v>
                </c:pt>
                <c:pt idx="213">
                  <c:v>9.9</c:v>
                </c:pt>
                <c:pt idx="214">
                  <c:v>9.9</c:v>
                </c:pt>
                <c:pt idx="215">
                  <c:v>10.55</c:v>
                </c:pt>
                <c:pt idx="216">
                  <c:v>10.85</c:v>
                </c:pt>
                <c:pt idx="217">
                  <c:v>10.95</c:v>
                </c:pt>
                <c:pt idx="218">
                  <c:v>12</c:v>
                </c:pt>
                <c:pt idx="219">
                  <c:v>11.8</c:v>
                </c:pt>
                <c:pt idx="220">
                  <c:v>11.7</c:v>
                </c:pt>
                <c:pt idx="221">
                  <c:v>10.9</c:v>
                </c:pt>
                <c:pt idx="222">
                  <c:v>11.3</c:v>
                </c:pt>
                <c:pt idx="223">
                  <c:v>11.2</c:v>
                </c:pt>
                <c:pt idx="224">
                  <c:v>10.95</c:v>
                </c:pt>
                <c:pt idx="225">
                  <c:v>10.6</c:v>
                </c:pt>
                <c:pt idx="226">
                  <c:v>10.65</c:v>
                </c:pt>
                <c:pt idx="227">
                  <c:v>11</c:v>
                </c:pt>
                <c:pt idx="228">
                  <c:v>11.3</c:v>
                </c:pt>
                <c:pt idx="229">
                  <c:v>11.15</c:v>
                </c:pt>
                <c:pt idx="230">
                  <c:v>11</c:v>
                </c:pt>
                <c:pt idx="231">
                  <c:v>10.5</c:v>
                </c:pt>
                <c:pt idx="232">
                  <c:v>10.65</c:v>
                </c:pt>
                <c:pt idx="233">
                  <c:v>11.35</c:v>
                </c:pt>
                <c:pt idx="234">
                  <c:v>11.6</c:v>
                </c:pt>
                <c:pt idx="235">
                  <c:v>11.5</c:v>
                </c:pt>
                <c:pt idx="236">
                  <c:v>11.4</c:v>
                </c:pt>
                <c:pt idx="237">
                  <c:v>11.55</c:v>
                </c:pt>
                <c:pt idx="238">
                  <c:v>11.05</c:v>
                </c:pt>
                <c:pt idx="239">
                  <c:v>11.4</c:v>
                </c:pt>
                <c:pt idx="240">
                  <c:v>12</c:v>
                </c:pt>
                <c:pt idx="241">
                  <c:v>12.3</c:v>
                </c:pt>
                <c:pt idx="242">
                  <c:v>12.2</c:v>
                </c:pt>
                <c:pt idx="243">
                  <c:v>12.35</c:v>
                </c:pt>
                <c:pt idx="244">
                  <c:v>12.4</c:v>
                </c:pt>
                <c:pt idx="245">
                  <c:v>13.1</c:v>
                </c:pt>
                <c:pt idx="246">
                  <c:v>13.45</c:v>
                </c:pt>
                <c:pt idx="247">
                  <c:v>13.1</c:v>
                </c:pt>
                <c:pt idx="248">
                  <c:v>13.2</c:v>
                </c:pt>
                <c:pt idx="249">
                  <c:v>13.15</c:v>
                </c:pt>
                <c:pt idx="250">
                  <c:v>13.95</c:v>
                </c:pt>
                <c:pt idx="251">
                  <c:v>13.6</c:v>
                </c:pt>
                <c:pt idx="252">
                  <c:v>14.1</c:v>
                </c:pt>
                <c:pt idx="253">
                  <c:v>14.4</c:v>
                </c:pt>
                <c:pt idx="254">
                  <c:v>14.3</c:v>
                </c:pt>
                <c:pt idx="255">
                  <c:v>14.3</c:v>
                </c:pt>
                <c:pt idx="256">
                  <c:v>15.25</c:v>
                </c:pt>
                <c:pt idx="257">
                  <c:v>15.2</c:v>
                </c:pt>
                <c:pt idx="258">
                  <c:v>15.35</c:v>
                </c:pt>
                <c:pt idx="259">
                  <c:v>15</c:v>
                </c:pt>
                <c:pt idx="260">
                  <c:v>15.55</c:v>
                </c:pt>
                <c:pt idx="261">
                  <c:v>9.8800000000000008</c:v>
                </c:pt>
                <c:pt idx="262">
                  <c:v>9.92</c:v>
                </c:pt>
                <c:pt idx="263">
                  <c:v>9.8800000000000008</c:v>
                </c:pt>
                <c:pt idx="264">
                  <c:v>9.9</c:v>
                </c:pt>
                <c:pt idx="265">
                  <c:v>9.9</c:v>
                </c:pt>
                <c:pt idx="266">
                  <c:v>9.9</c:v>
                </c:pt>
                <c:pt idx="267">
                  <c:v>10.55</c:v>
                </c:pt>
                <c:pt idx="268">
                  <c:v>10.85</c:v>
                </c:pt>
                <c:pt idx="269">
                  <c:v>10.95</c:v>
                </c:pt>
                <c:pt idx="270">
                  <c:v>12</c:v>
                </c:pt>
                <c:pt idx="271">
                  <c:v>11.8</c:v>
                </c:pt>
                <c:pt idx="272">
                  <c:v>11.7</c:v>
                </c:pt>
                <c:pt idx="273">
                  <c:v>10.9</c:v>
                </c:pt>
                <c:pt idx="274">
                  <c:v>11.3</c:v>
                </c:pt>
                <c:pt idx="275">
                  <c:v>11.2</c:v>
                </c:pt>
                <c:pt idx="276">
                  <c:v>10.95</c:v>
                </c:pt>
                <c:pt idx="277">
                  <c:v>10.6</c:v>
                </c:pt>
                <c:pt idx="278">
                  <c:v>10.65</c:v>
                </c:pt>
                <c:pt idx="279">
                  <c:v>11</c:v>
                </c:pt>
                <c:pt idx="280">
                  <c:v>11.3</c:v>
                </c:pt>
                <c:pt idx="281">
                  <c:v>11.15</c:v>
                </c:pt>
                <c:pt idx="282">
                  <c:v>11</c:v>
                </c:pt>
                <c:pt idx="283">
                  <c:v>10.5</c:v>
                </c:pt>
                <c:pt idx="284">
                  <c:v>10.65</c:v>
                </c:pt>
                <c:pt idx="285">
                  <c:v>11.35</c:v>
                </c:pt>
                <c:pt idx="286">
                  <c:v>11.6</c:v>
                </c:pt>
                <c:pt idx="287">
                  <c:v>11.5</c:v>
                </c:pt>
                <c:pt idx="288">
                  <c:v>11.4</c:v>
                </c:pt>
                <c:pt idx="289">
                  <c:v>11.55</c:v>
                </c:pt>
                <c:pt idx="290">
                  <c:v>11.05</c:v>
                </c:pt>
                <c:pt idx="291">
                  <c:v>11.4</c:v>
                </c:pt>
                <c:pt idx="292">
                  <c:v>12</c:v>
                </c:pt>
                <c:pt idx="293">
                  <c:v>12.3</c:v>
                </c:pt>
                <c:pt idx="294">
                  <c:v>12.2</c:v>
                </c:pt>
                <c:pt idx="295">
                  <c:v>12.35</c:v>
                </c:pt>
                <c:pt idx="296">
                  <c:v>12.4</c:v>
                </c:pt>
                <c:pt idx="297">
                  <c:v>13.1</c:v>
                </c:pt>
                <c:pt idx="298">
                  <c:v>13.45</c:v>
                </c:pt>
                <c:pt idx="299">
                  <c:v>13.1</c:v>
                </c:pt>
                <c:pt idx="300">
                  <c:v>13.2</c:v>
                </c:pt>
                <c:pt idx="301">
                  <c:v>13.15</c:v>
                </c:pt>
                <c:pt idx="302">
                  <c:v>13.95</c:v>
                </c:pt>
                <c:pt idx="303">
                  <c:v>13.6</c:v>
                </c:pt>
                <c:pt idx="304">
                  <c:v>14.1</c:v>
                </c:pt>
                <c:pt idx="305">
                  <c:v>14.4</c:v>
                </c:pt>
                <c:pt idx="306">
                  <c:v>14.3</c:v>
                </c:pt>
                <c:pt idx="307">
                  <c:v>14.3</c:v>
                </c:pt>
                <c:pt idx="308">
                  <c:v>15.25</c:v>
                </c:pt>
                <c:pt idx="309">
                  <c:v>15.2</c:v>
                </c:pt>
                <c:pt idx="310">
                  <c:v>15.35</c:v>
                </c:pt>
                <c:pt idx="311">
                  <c:v>15</c:v>
                </c:pt>
                <c:pt idx="312">
                  <c:v>15.55</c:v>
                </c:pt>
                <c:pt idx="313">
                  <c:v>15.8</c:v>
                </c:pt>
                <c:pt idx="314">
                  <c:v>15.95</c:v>
                </c:pt>
                <c:pt idx="315">
                  <c:v>15.7</c:v>
                </c:pt>
                <c:pt idx="316">
                  <c:v>16.05</c:v>
                </c:pt>
                <c:pt idx="317">
                  <c:v>16.2</c:v>
                </c:pt>
                <c:pt idx="318">
                  <c:v>16.600000000000001</c:v>
                </c:pt>
                <c:pt idx="319">
                  <c:v>16.5</c:v>
                </c:pt>
                <c:pt idx="320">
                  <c:v>16.600000000000001</c:v>
                </c:pt>
                <c:pt idx="321">
                  <c:v>15.5</c:v>
                </c:pt>
                <c:pt idx="322">
                  <c:v>16.05</c:v>
                </c:pt>
                <c:pt idx="323">
                  <c:v>15.95</c:v>
                </c:pt>
                <c:pt idx="324">
                  <c:v>16.350000000000001</c:v>
                </c:pt>
                <c:pt idx="325">
                  <c:v>15.45</c:v>
                </c:pt>
                <c:pt idx="326">
                  <c:v>15.06</c:v>
                </c:pt>
                <c:pt idx="327">
                  <c:v>14.9</c:v>
                </c:pt>
                <c:pt idx="328">
                  <c:v>14.66</c:v>
                </c:pt>
                <c:pt idx="329">
                  <c:v>15.52</c:v>
                </c:pt>
                <c:pt idx="330">
                  <c:v>16.68</c:v>
                </c:pt>
                <c:pt idx="331">
                  <c:v>17.46</c:v>
                </c:pt>
                <c:pt idx="332">
                  <c:v>17.3</c:v>
                </c:pt>
                <c:pt idx="333">
                  <c:v>17.38</c:v>
                </c:pt>
                <c:pt idx="334">
                  <c:v>17.12</c:v>
                </c:pt>
                <c:pt idx="335">
                  <c:v>16.899999999999999</c:v>
                </c:pt>
                <c:pt idx="336">
                  <c:v>17.5</c:v>
                </c:pt>
                <c:pt idx="337">
                  <c:v>18.88</c:v>
                </c:pt>
                <c:pt idx="338">
                  <c:v>18.8</c:v>
                </c:pt>
                <c:pt idx="339">
                  <c:v>18.5</c:v>
                </c:pt>
                <c:pt idx="340">
                  <c:v>18.3</c:v>
                </c:pt>
                <c:pt idx="341">
                  <c:v>18.8</c:v>
                </c:pt>
                <c:pt idx="342">
                  <c:v>18.600000000000001</c:v>
                </c:pt>
                <c:pt idx="343">
                  <c:v>18.72</c:v>
                </c:pt>
                <c:pt idx="344">
                  <c:v>19.54</c:v>
                </c:pt>
                <c:pt idx="345">
                  <c:v>20.75</c:v>
                </c:pt>
                <c:pt idx="346">
                  <c:v>19.3</c:v>
                </c:pt>
                <c:pt idx="347">
                  <c:v>19.3</c:v>
                </c:pt>
                <c:pt idx="348">
                  <c:v>18.72</c:v>
                </c:pt>
                <c:pt idx="349">
                  <c:v>17.64</c:v>
                </c:pt>
                <c:pt idx="350">
                  <c:v>17.16</c:v>
                </c:pt>
                <c:pt idx="351">
                  <c:v>17.46</c:v>
                </c:pt>
                <c:pt idx="352">
                  <c:v>17.5</c:v>
                </c:pt>
                <c:pt idx="353">
                  <c:v>18.2</c:v>
                </c:pt>
                <c:pt idx="354">
                  <c:v>19.04</c:v>
                </c:pt>
                <c:pt idx="355">
                  <c:v>19.7</c:v>
                </c:pt>
                <c:pt idx="356">
                  <c:v>18.82</c:v>
                </c:pt>
                <c:pt idx="357">
                  <c:v>19.78</c:v>
                </c:pt>
                <c:pt idx="358">
                  <c:v>18.760000000000002</c:v>
                </c:pt>
                <c:pt idx="359">
                  <c:v>19.02</c:v>
                </c:pt>
                <c:pt idx="360">
                  <c:v>19.3</c:v>
                </c:pt>
                <c:pt idx="361">
                  <c:v>19.7</c:v>
                </c:pt>
                <c:pt idx="362">
                  <c:v>19.920000000000002</c:v>
                </c:pt>
                <c:pt idx="36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8-44A6-A83A-68F9DA29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61504"/>
        <c:axId val="44845184"/>
      </c:lineChart>
      <c:lineChart>
        <c:grouping val="standard"/>
        <c:varyColors val="0"/>
        <c:ser>
          <c:idx val="1"/>
          <c:order val="1"/>
          <c:tx>
            <c:strRef>
              <c:f>'Kri-Kri Milk Stock Price Histor'!$D$1</c:f>
              <c:strCache>
                <c:ptCount val="1"/>
                <c:pt idx="0">
                  <c:v>Price ATG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'Kri-Kri Milk Stock Price Histor'!$A$2:$A$365</c:f>
              <c:numCache>
                <c:formatCode>dd\-mm\-yyyy</c:formatCode>
                <c:ptCount val="364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  <c:pt idx="53">
                  <c:v>44206</c:v>
                </c:pt>
                <c:pt idx="54">
                  <c:v>44213</c:v>
                </c:pt>
                <c:pt idx="55">
                  <c:v>44220</c:v>
                </c:pt>
                <c:pt idx="56">
                  <c:v>44227</c:v>
                </c:pt>
                <c:pt idx="57">
                  <c:v>44234</c:v>
                </c:pt>
                <c:pt idx="58">
                  <c:v>44241</c:v>
                </c:pt>
                <c:pt idx="59">
                  <c:v>44248</c:v>
                </c:pt>
                <c:pt idx="60">
                  <c:v>44255</c:v>
                </c:pt>
                <c:pt idx="61">
                  <c:v>44262</c:v>
                </c:pt>
                <c:pt idx="62">
                  <c:v>44269</c:v>
                </c:pt>
                <c:pt idx="63">
                  <c:v>44276</c:v>
                </c:pt>
                <c:pt idx="64">
                  <c:v>44283</c:v>
                </c:pt>
                <c:pt idx="65">
                  <c:v>44290</c:v>
                </c:pt>
                <c:pt idx="66">
                  <c:v>44297</c:v>
                </c:pt>
                <c:pt idx="67">
                  <c:v>44304</c:v>
                </c:pt>
                <c:pt idx="68">
                  <c:v>44311</c:v>
                </c:pt>
                <c:pt idx="69">
                  <c:v>44318</c:v>
                </c:pt>
                <c:pt idx="70">
                  <c:v>44325</c:v>
                </c:pt>
                <c:pt idx="71">
                  <c:v>44332</c:v>
                </c:pt>
                <c:pt idx="72">
                  <c:v>44339</c:v>
                </c:pt>
                <c:pt idx="73">
                  <c:v>44346</c:v>
                </c:pt>
                <c:pt idx="74">
                  <c:v>44353</c:v>
                </c:pt>
                <c:pt idx="75">
                  <c:v>44360</c:v>
                </c:pt>
                <c:pt idx="76">
                  <c:v>44367</c:v>
                </c:pt>
                <c:pt idx="77">
                  <c:v>44374</c:v>
                </c:pt>
                <c:pt idx="78">
                  <c:v>44381</c:v>
                </c:pt>
                <c:pt idx="79">
                  <c:v>44388</c:v>
                </c:pt>
                <c:pt idx="80">
                  <c:v>44395</c:v>
                </c:pt>
                <c:pt idx="81">
                  <c:v>44402</c:v>
                </c:pt>
                <c:pt idx="82">
                  <c:v>44409</c:v>
                </c:pt>
                <c:pt idx="83">
                  <c:v>44416</c:v>
                </c:pt>
                <c:pt idx="84">
                  <c:v>44423</c:v>
                </c:pt>
                <c:pt idx="85">
                  <c:v>44430</c:v>
                </c:pt>
                <c:pt idx="86">
                  <c:v>44437</c:v>
                </c:pt>
                <c:pt idx="87">
                  <c:v>44444</c:v>
                </c:pt>
                <c:pt idx="88">
                  <c:v>44451</c:v>
                </c:pt>
                <c:pt idx="89">
                  <c:v>44458</c:v>
                </c:pt>
                <c:pt idx="90">
                  <c:v>44465</c:v>
                </c:pt>
                <c:pt idx="91">
                  <c:v>44472</c:v>
                </c:pt>
                <c:pt idx="92">
                  <c:v>44479</c:v>
                </c:pt>
                <c:pt idx="93">
                  <c:v>44486</c:v>
                </c:pt>
                <c:pt idx="94">
                  <c:v>44493</c:v>
                </c:pt>
                <c:pt idx="95">
                  <c:v>44500</c:v>
                </c:pt>
                <c:pt idx="96">
                  <c:v>44507</c:v>
                </c:pt>
                <c:pt idx="97">
                  <c:v>44514</c:v>
                </c:pt>
                <c:pt idx="98">
                  <c:v>44521</c:v>
                </c:pt>
                <c:pt idx="99">
                  <c:v>44528</c:v>
                </c:pt>
                <c:pt idx="100">
                  <c:v>44535</c:v>
                </c:pt>
                <c:pt idx="101">
                  <c:v>44542</c:v>
                </c:pt>
                <c:pt idx="102">
                  <c:v>44549</c:v>
                </c:pt>
                <c:pt idx="103">
                  <c:v>44556</c:v>
                </c:pt>
                <c:pt idx="104">
                  <c:v>44563</c:v>
                </c:pt>
                <c:pt idx="105">
                  <c:v>44570</c:v>
                </c:pt>
                <c:pt idx="106">
                  <c:v>44577</c:v>
                </c:pt>
                <c:pt idx="107">
                  <c:v>44584</c:v>
                </c:pt>
                <c:pt idx="108">
                  <c:v>44591</c:v>
                </c:pt>
                <c:pt idx="109">
                  <c:v>44598</c:v>
                </c:pt>
                <c:pt idx="110">
                  <c:v>44605</c:v>
                </c:pt>
                <c:pt idx="111">
                  <c:v>44612</c:v>
                </c:pt>
                <c:pt idx="112">
                  <c:v>44619</c:v>
                </c:pt>
                <c:pt idx="113">
                  <c:v>44626</c:v>
                </c:pt>
                <c:pt idx="114">
                  <c:v>44633</c:v>
                </c:pt>
                <c:pt idx="115">
                  <c:v>44640</c:v>
                </c:pt>
                <c:pt idx="116">
                  <c:v>44647</c:v>
                </c:pt>
                <c:pt idx="117">
                  <c:v>44654</c:v>
                </c:pt>
                <c:pt idx="118">
                  <c:v>44661</c:v>
                </c:pt>
                <c:pt idx="119">
                  <c:v>44668</c:v>
                </c:pt>
                <c:pt idx="120">
                  <c:v>44675</c:v>
                </c:pt>
                <c:pt idx="121">
                  <c:v>44682</c:v>
                </c:pt>
                <c:pt idx="122">
                  <c:v>44689</c:v>
                </c:pt>
                <c:pt idx="123">
                  <c:v>44696</c:v>
                </c:pt>
                <c:pt idx="124">
                  <c:v>44703</c:v>
                </c:pt>
                <c:pt idx="125">
                  <c:v>44710</c:v>
                </c:pt>
                <c:pt idx="126">
                  <c:v>44717</c:v>
                </c:pt>
                <c:pt idx="127">
                  <c:v>44724</c:v>
                </c:pt>
                <c:pt idx="128">
                  <c:v>44731</c:v>
                </c:pt>
                <c:pt idx="129">
                  <c:v>44738</c:v>
                </c:pt>
                <c:pt idx="130">
                  <c:v>44745</c:v>
                </c:pt>
                <c:pt idx="131">
                  <c:v>44752</c:v>
                </c:pt>
                <c:pt idx="132">
                  <c:v>44759</c:v>
                </c:pt>
                <c:pt idx="133">
                  <c:v>44766</c:v>
                </c:pt>
                <c:pt idx="134">
                  <c:v>44773</c:v>
                </c:pt>
                <c:pt idx="135">
                  <c:v>44780</c:v>
                </c:pt>
                <c:pt idx="136">
                  <c:v>44787</c:v>
                </c:pt>
                <c:pt idx="137">
                  <c:v>44794</c:v>
                </c:pt>
                <c:pt idx="138">
                  <c:v>44801</c:v>
                </c:pt>
                <c:pt idx="139">
                  <c:v>44808</c:v>
                </c:pt>
                <c:pt idx="140">
                  <c:v>44815</c:v>
                </c:pt>
                <c:pt idx="141">
                  <c:v>44822</c:v>
                </c:pt>
                <c:pt idx="142">
                  <c:v>44829</c:v>
                </c:pt>
                <c:pt idx="143">
                  <c:v>44836</c:v>
                </c:pt>
                <c:pt idx="144">
                  <c:v>44843</c:v>
                </c:pt>
                <c:pt idx="145">
                  <c:v>44850</c:v>
                </c:pt>
                <c:pt idx="146">
                  <c:v>44857</c:v>
                </c:pt>
                <c:pt idx="147">
                  <c:v>44864</c:v>
                </c:pt>
                <c:pt idx="148">
                  <c:v>44871</c:v>
                </c:pt>
                <c:pt idx="149">
                  <c:v>44878</c:v>
                </c:pt>
                <c:pt idx="150">
                  <c:v>44885</c:v>
                </c:pt>
                <c:pt idx="151">
                  <c:v>44892</c:v>
                </c:pt>
                <c:pt idx="152">
                  <c:v>44899</c:v>
                </c:pt>
                <c:pt idx="153">
                  <c:v>44906</c:v>
                </c:pt>
                <c:pt idx="154">
                  <c:v>44913</c:v>
                </c:pt>
                <c:pt idx="155">
                  <c:v>44920</c:v>
                </c:pt>
                <c:pt idx="156">
                  <c:v>44927</c:v>
                </c:pt>
                <c:pt idx="157">
                  <c:v>44934</c:v>
                </c:pt>
                <c:pt idx="158">
                  <c:v>44941</c:v>
                </c:pt>
                <c:pt idx="159">
                  <c:v>44948</c:v>
                </c:pt>
                <c:pt idx="160">
                  <c:v>44955</c:v>
                </c:pt>
                <c:pt idx="161">
                  <c:v>44962</c:v>
                </c:pt>
                <c:pt idx="162">
                  <c:v>44969</c:v>
                </c:pt>
                <c:pt idx="163">
                  <c:v>44976</c:v>
                </c:pt>
                <c:pt idx="164">
                  <c:v>44983</c:v>
                </c:pt>
                <c:pt idx="165">
                  <c:v>44990</c:v>
                </c:pt>
                <c:pt idx="166">
                  <c:v>44997</c:v>
                </c:pt>
                <c:pt idx="167">
                  <c:v>45004</c:v>
                </c:pt>
                <c:pt idx="168">
                  <c:v>45011</c:v>
                </c:pt>
                <c:pt idx="169">
                  <c:v>45018</c:v>
                </c:pt>
                <c:pt idx="170">
                  <c:v>45025</c:v>
                </c:pt>
                <c:pt idx="171">
                  <c:v>45032</c:v>
                </c:pt>
                <c:pt idx="172">
                  <c:v>45039</c:v>
                </c:pt>
                <c:pt idx="173">
                  <c:v>45046</c:v>
                </c:pt>
                <c:pt idx="174">
                  <c:v>45053</c:v>
                </c:pt>
                <c:pt idx="175">
                  <c:v>45060</c:v>
                </c:pt>
                <c:pt idx="176">
                  <c:v>45067</c:v>
                </c:pt>
                <c:pt idx="177">
                  <c:v>45074</c:v>
                </c:pt>
                <c:pt idx="178">
                  <c:v>45081</c:v>
                </c:pt>
                <c:pt idx="179">
                  <c:v>45088</c:v>
                </c:pt>
                <c:pt idx="180">
                  <c:v>45095</c:v>
                </c:pt>
                <c:pt idx="181">
                  <c:v>45102</c:v>
                </c:pt>
                <c:pt idx="182">
                  <c:v>45109</c:v>
                </c:pt>
                <c:pt idx="183">
                  <c:v>45116</c:v>
                </c:pt>
                <c:pt idx="184">
                  <c:v>45123</c:v>
                </c:pt>
                <c:pt idx="185">
                  <c:v>45130</c:v>
                </c:pt>
                <c:pt idx="186">
                  <c:v>45137</c:v>
                </c:pt>
                <c:pt idx="187">
                  <c:v>45144</c:v>
                </c:pt>
                <c:pt idx="188">
                  <c:v>45151</c:v>
                </c:pt>
                <c:pt idx="189">
                  <c:v>45158</c:v>
                </c:pt>
                <c:pt idx="190">
                  <c:v>45165</c:v>
                </c:pt>
                <c:pt idx="191">
                  <c:v>45172</c:v>
                </c:pt>
                <c:pt idx="192">
                  <c:v>45179</c:v>
                </c:pt>
                <c:pt idx="193">
                  <c:v>45186</c:v>
                </c:pt>
                <c:pt idx="194">
                  <c:v>45193</c:v>
                </c:pt>
                <c:pt idx="195">
                  <c:v>45200</c:v>
                </c:pt>
                <c:pt idx="196">
                  <c:v>45207</c:v>
                </c:pt>
                <c:pt idx="197">
                  <c:v>45214</c:v>
                </c:pt>
                <c:pt idx="198">
                  <c:v>45221</c:v>
                </c:pt>
                <c:pt idx="199">
                  <c:v>45228</c:v>
                </c:pt>
                <c:pt idx="200">
                  <c:v>45235</c:v>
                </c:pt>
                <c:pt idx="201">
                  <c:v>45242</c:v>
                </c:pt>
                <c:pt idx="202">
                  <c:v>45249</c:v>
                </c:pt>
                <c:pt idx="203">
                  <c:v>45256</c:v>
                </c:pt>
                <c:pt idx="204">
                  <c:v>45263</c:v>
                </c:pt>
                <c:pt idx="205">
                  <c:v>45270</c:v>
                </c:pt>
                <c:pt idx="206">
                  <c:v>45277</c:v>
                </c:pt>
                <c:pt idx="207">
                  <c:v>45284</c:v>
                </c:pt>
                <c:pt idx="208">
                  <c:v>45291</c:v>
                </c:pt>
                <c:pt idx="209">
                  <c:v>45298</c:v>
                </c:pt>
                <c:pt idx="210">
                  <c:v>45305</c:v>
                </c:pt>
                <c:pt idx="211">
                  <c:v>45312</c:v>
                </c:pt>
                <c:pt idx="212">
                  <c:v>45319</c:v>
                </c:pt>
                <c:pt idx="213">
                  <c:v>45326</c:v>
                </c:pt>
                <c:pt idx="214">
                  <c:v>45333</c:v>
                </c:pt>
                <c:pt idx="215">
                  <c:v>45340</c:v>
                </c:pt>
                <c:pt idx="216">
                  <c:v>45347</c:v>
                </c:pt>
                <c:pt idx="217">
                  <c:v>45354</c:v>
                </c:pt>
                <c:pt idx="218">
                  <c:v>45361</c:v>
                </c:pt>
                <c:pt idx="219">
                  <c:v>45368</c:v>
                </c:pt>
                <c:pt idx="220">
                  <c:v>45375</c:v>
                </c:pt>
                <c:pt idx="221">
                  <c:v>45382</c:v>
                </c:pt>
                <c:pt idx="222">
                  <c:v>45389</c:v>
                </c:pt>
                <c:pt idx="223">
                  <c:v>45396</c:v>
                </c:pt>
                <c:pt idx="224">
                  <c:v>45403</c:v>
                </c:pt>
                <c:pt idx="225">
                  <c:v>45410</c:v>
                </c:pt>
                <c:pt idx="226">
                  <c:v>45417</c:v>
                </c:pt>
                <c:pt idx="227">
                  <c:v>45424</c:v>
                </c:pt>
                <c:pt idx="228">
                  <c:v>45431</c:v>
                </c:pt>
                <c:pt idx="229">
                  <c:v>45438</c:v>
                </c:pt>
                <c:pt idx="230">
                  <c:v>45445</c:v>
                </c:pt>
                <c:pt idx="231">
                  <c:v>45452</c:v>
                </c:pt>
                <c:pt idx="232">
                  <c:v>45459</c:v>
                </c:pt>
                <c:pt idx="233">
                  <c:v>45466</c:v>
                </c:pt>
                <c:pt idx="234">
                  <c:v>45473</c:v>
                </c:pt>
                <c:pt idx="235">
                  <c:v>45480</c:v>
                </c:pt>
                <c:pt idx="236">
                  <c:v>45487</c:v>
                </c:pt>
                <c:pt idx="237">
                  <c:v>45494</c:v>
                </c:pt>
                <c:pt idx="238">
                  <c:v>45501</c:v>
                </c:pt>
                <c:pt idx="239">
                  <c:v>45508</c:v>
                </c:pt>
                <c:pt idx="240">
                  <c:v>45515</c:v>
                </c:pt>
                <c:pt idx="241">
                  <c:v>45522</c:v>
                </c:pt>
                <c:pt idx="242">
                  <c:v>45529</c:v>
                </c:pt>
                <c:pt idx="243">
                  <c:v>45536</c:v>
                </c:pt>
                <c:pt idx="244">
                  <c:v>45543</c:v>
                </c:pt>
                <c:pt idx="245">
                  <c:v>45550</c:v>
                </c:pt>
                <c:pt idx="246">
                  <c:v>45557</c:v>
                </c:pt>
                <c:pt idx="247">
                  <c:v>45564</c:v>
                </c:pt>
                <c:pt idx="248">
                  <c:v>45571</c:v>
                </c:pt>
                <c:pt idx="249">
                  <c:v>45578</c:v>
                </c:pt>
                <c:pt idx="250">
                  <c:v>45585</c:v>
                </c:pt>
                <c:pt idx="251">
                  <c:v>45592</c:v>
                </c:pt>
                <c:pt idx="252">
                  <c:v>45599</c:v>
                </c:pt>
                <c:pt idx="253">
                  <c:v>45606</c:v>
                </c:pt>
                <c:pt idx="254">
                  <c:v>45613</c:v>
                </c:pt>
                <c:pt idx="255">
                  <c:v>45620</c:v>
                </c:pt>
                <c:pt idx="256">
                  <c:v>45627</c:v>
                </c:pt>
                <c:pt idx="257">
                  <c:v>45634</c:v>
                </c:pt>
                <c:pt idx="258">
                  <c:v>45641</c:v>
                </c:pt>
                <c:pt idx="259">
                  <c:v>45648</c:v>
                </c:pt>
                <c:pt idx="260">
                  <c:v>45655</c:v>
                </c:pt>
                <c:pt idx="261" formatCode="mm\-dd\-yyyy">
                  <c:v>45298</c:v>
                </c:pt>
                <c:pt idx="262" formatCode="mm\-dd\-yyyy">
                  <c:v>45305</c:v>
                </c:pt>
                <c:pt idx="263" formatCode="mm\-dd\-yyyy">
                  <c:v>45312</c:v>
                </c:pt>
                <c:pt idx="264" formatCode="mm\-dd\-yyyy">
                  <c:v>45319</c:v>
                </c:pt>
                <c:pt idx="265" formatCode="mm\-dd\-yyyy">
                  <c:v>45326</c:v>
                </c:pt>
                <c:pt idx="266" formatCode="mm\-dd\-yyyy">
                  <c:v>45333</c:v>
                </c:pt>
                <c:pt idx="267" formatCode="mm\-dd\-yyyy">
                  <c:v>45340</c:v>
                </c:pt>
                <c:pt idx="268" formatCode="mm\-dd\-yyyy">
                  <c:v>45347</c:v>
                </c:pt>
                <c:pt idx="269" formatCode="mm\-dd\-yyyy">
                  <c:v>45354</c:v>
                </c:pt>
                <c:pt idx="270" formatCode="mm\-dd\-yyyy">
                  <c:v>45361</c:v>
                </c:pt>
                <c:pt idx="271" formatCode="mm\-dd\-yyyy">
                  <c:v>45368</c:v>
                </c:pt>
                <c:pt idx="272" formatCode="mm\-dd\-yyyy">
                  <c:v>45375</c:v>
                </c:pt>
                <c:pt idx="273" formatCode="mm\-dd\-yyyy">
                  <c:v>45382</c:v>
                </c:pt>
                <c:pt idx="274" formatCode="mm\-dd\-yyyy">
                  <c:v>45389</c:v>
                </c:pt>
                <c:pt idx="275" formatCode="mm\-dd\-yyyy">
                  <c:v>45396</c:v>
                </c:pt>
                <c:pt idx="276" formatCode="mm\-dd\-yyyy">
                  <c:v>45403</c:v>
                </c:pt>
                <c:pt idx="277" formatCode="mm\-dd\-yyyy">
                  <c:v>45410</c:v>
                </c:pt>
                <c:pt idx="278" formatCode="mm\-dd\-yyyy">
                  <c:v>45417</c:v>
                </c:pt>
                <c:pt idx="279" formatCode="mm\-dd\-yyyy">
                  <c:v>45424</c:v>
                </c:pt>
                <c:pt idx="280" formatCode="mm\-dd\-yyyy">
                  <c:v>45431</c:v>
                </c:pt>
                <c:pt idx="281" formatCode="mm\-dd\-yyyy">
                  <c:v>45438</c:v>
                </c:pt>
                <c:pt idx="282" formatCode="mm\-dd\-yyyy">
                  <c:v>45445</c:v>
                </c:pt>
                <c:pt idx="283" formatCode="mm\-dd\-yyyy">
                  <c:v>45452</c:v>
                </c:pt>
                <c:pt idx="284" formatCode="mm\-dd\-yyyy">
                  <c:v>45459</c:v>
                </c:pt>
                <c:pt idx="285" formatCode="mm\-dd\-yyyy">
                  <c:v>45466</c:v>
                </c:pt>
                <c:pt idx="286" formatCode="mm\-dd\-yyyy">
                  <c:v>45473</c:v>
                </c:pt>
                <c:pt idx="287" formatCode="mm\-dd\-yyyy">
                  <c:v>45480</c:v>
                </c:pt>
                <c:pt idx="288" formatCode="mm\-dd\-yyyy">
                  <c:v>45487</c:v>
                </c:pt>
                <c:pt idx="289" formatCode="mm\-dd\-yyyy">
                  <c:v>45494</c:v>
                </c:pt>
                <c:pt idx="290" formatCode="mm\-dd\-yyyy">
                  <c:v>45501</c:v>
                </c:pt>
                <c:pt idx="291" formatCode="mm\-dd\-yyyy">
                  <c:v>45508</c:v>
                </c:pt>
                <c:pt idx="292" formatCode="mm\-dd\-yyyy">
                  <c:v>45515</c:v>
                </c:pt>
                <c:pt idx="293" formatCode="mm\-dd\-yyyy">
                  <c:v>45522</c:v>
                </c:pt>
                <c:pt idx="294" formatCode="mm\-dd\-yyyy">
                  <c:v>45529</c:v>
                </c:pt>
                <c:pt idx="295" formatCode="mm\-dd\-yyyy">
                  <c:v>45536</c:v>
                </c:pt>
                <c:pt idx="296" formatCode="mm\-dd\-yyyy">
                  <c:v>45543</c:v>
                </c:pt>
                <c:pt idx="297" formatCode="mm\-dd\-yyyy">
                  <c:v>45550</c:v>
                </c:pt>
                <c:pt idx="298" formatCode="mm\-dd\-yyyy">
                  <c:v>45557</c:v>
                </c:pt>
                <c:pt idx="299" formatCode="mm\-dd\-yyyy">
                  <c:v>45564</c:v>
                </c:pt>
                <c:pt idx="300" formatCode="mm\-dd\-yyyy">
                  <c:v>45571</c:v>
                </c:pt>
                <c:pt idx="301" formatCode="mm\-dd\-yyyy">
                  <c:v>45578</c:v>
                </c:pt>
                <c:pt idx="302" formatCode="mm\-dd\-yyyy">
                  <c:v>45585</c:v>
                </c:pt>
                <c:pt idx="303" formatCode="mm\-dd\-yyyy">
                  <c:v>45592</c:v>
                </c:pt>
                <c:pt idx="304" formatCode="mm\-dd\-yyyy">
                  <c:v>45599</c:v>
                </c:pt>
                <c:pt idx="305" formatCode="mm\-dd\-yyyy">
                  <c:v>45606</c:v>
                </c:pt>
                <c:pt idx="306" formatCode="mm\-dd\-yyyy">
                  <c:v>45613</c:v>
                </c:pt>
                <c:pt idx="307" formatCode="mm\-dd\-yyyy">
                  <c:v>45620</c:v>
                </c:pt>
                <c:pt idx="308" formatCode="mm\-dd\-yyyy">
                  <c:v>45627</c:v>
                </c:pt>
                <c:pt idx="309" formatCode="mm\-dd\-yyyy">
                  <c:v>45634</c:v>
                </c:pt>
                <c:pt idx="310" formatCode="mm\-dd\-yyyy">
                  <c:v>45641</c:v>
                </c:pt>
                <c:pt idx="311" formatCode="mm\-dd\-yyyy">
                  <c:v>45648</c:v>
                </c:pt>
                <c:pt idx="312" formatCode="mm\-dd\-yyyy">
                  <c:v>45655</c:v>
                </c:pt>
                <c:pt idx="313" formatCode="mm\-dd\-yyyy">
                  <c:v>45662</c:v>
                </c:pt>
                <c:pt idx="314" formatCode="mm\-dd\-yyyy">
                  <c:v>45669</c:v>
                </c:pt>
                <c:pt idx="315" formatCode="mm\-dd\-yyyy">
                  <c:v>45676</c:v>
                </c:pt>
                <c:pt idx="316" formatCode="mm\-dd\-yyyy">
                  <c:v>45683</c:v>
                </c:pt>
                <c:pt idx="317" formatCode="mm\-dd\-yyyy">
                  <c:v>45690</c:v>
                </c:pt>
                <c:pt idx="318" formatCode="mm\-dd\-yyyy">
                  <c:v>45697</c:v>
                </c:pt>
                <c:pt idx="319" formatCode="mm\-dd\-yyyy">
                  <c:v>45704</c:v>
                </c:pt>
                <c:pt idx="320" formatCode="mm\-dd\-yyyy">
                  <c:v>45711</c:v>
                </c:pt>
                <c:pt idx="321" formatCode="mm\-dd\-yyyy">
                  <c:v>45718</c:v>
                </c:pt>
                <c:pt idx="322" formatCode="mm\-dd\-yyyy">
                  <c:v>45725</c:v>
                </c:pt>
                <c:pt idx="323" formatCode="mm\-dd\-yyyy">
                  <c:v>45732</c:v>
                </c:pt>
                <c:pt idx="324" formatCode="mm\-dd\-yyyy">
                  <c:v>45739</c:v>
                </c:pt>
                <c:pt idx="325" formatCode="mm\-dd\-yyyy">
                  <c:v>45746</c:v>
                </c:pt>
                <c:pt idx="326" formatCode="mm\-dd\-yyyy">
                  <c:v>45753</c:v>
                </c:pt>
                <c:pt idx="327" formatCode="mm\-dd\-yyyy">
                  <c:v>45760</c:v>
                </c:pt>
                <c:pt idx="328" formatCode="mm\-dd\-yyyy">
                  <c:v>45767</c:v>
                </c:pt>
                <c:pt idx="329" formatCode="mm\-dd\-yyyy">
                  <c:v>45774</c:v>
                </c:pt>
                <c:pt idx="330" formatCode="mm\-dd\-yyyy">
                  <c:v>45781</c:v>
                </c:pt>
                <c:pt idx="331" formatCode="mm\-dd\-yyyy">
                  <c:v>45788</c:v>
                </c:pt>
                <c:pt idx="332" formatCode="mm\-dd\-yyyy">
                  <c:v>45795</c:v>
                </c:pt>
                <c:pt idx="333" formatCode="mm\-dd\-yyyy">
                  <c:v>45802</c:v>
                </c:pt>
                <c:pt idx="334" formatCode="mm\-dd\-yyyy">
                  <c:v>45809</c:v>
                </c:pt>
                <c:pt idx="335" formatCode="mm\-dd\-yyyy">
                  <c:v>45816</c:v>
                </c:pt>
                <c:pt idx="336" formatCode="mm\-dd\-yyyy">
                  <c:v>45823</c:v>
                </c:pt>
                <c:pt idx="337" formatCode="mm\-dd\-yyyy">
                  <c:v>45830</c:v>
                </c:pt>
                <c:pt idx="338" formatCode="mm\-dd\-yyyy">
                  <c:v>45837</c:v>
                </c:pt>
                <c:pt idx="339" formatCode="mm\-dd\-yyyy">
                  <c:v>45844</c:v>
                </c:pt>
                <c:pt idx="340" formatCode="mm\-dd\-yyyy">
                  <c:v>45851</c:v>
                </c:pt>
                <c:pt idx="341" formatCode="mm\-dd\-yyyy">
                  <c:v>45858</c:v>
                </c:pt>
                <c:pt idx="342" formatCode="mm\-dd\-yyyy">
                  <c:v>45865</c:v>
                </c:pt>
                <c:pt idx="343" formatCode="mm\-dd\-yyyy">
                  <c:v>45872</c:v>
                </c:pt>
                <c:pt idx="344" formatCode="mm\-dd\-yyyy">
                  <c:v>45879</c:v>
                </c:pt>
                <c:pt idx="345" formatCode="mm\-dd\-yyyy">
                  <c:v>45886</c:v>
                </c:pt>
                <c:pt idx="346" formatCode="mm\-dd\-yyyy">
                  <c:v>45893</c:v>
                </c:pt>
                <c:pt idx="347" formatCode="mm\-dd\-yyyy">
                  <c:v>45900</c:v>
                </c:pt>
                <c:pt idx="348" formatCode="mm\-dd\-yyyy">
                  <c:v>45907</c:v>
                </c:pt>
                <c:pt idx="349" formatCode="mm\-dd\-yyyy">
                  <c:v>45914</c:v>
                </c:pt>
                <c:pt idx="350" formatCode="mm\-dd\-yyyy">
                  <c:v>45921</c:v>
                </c:pt>
                <c:pt idx="351" formatCode="mm\-dd\-yyyy">
                  <c:v>45928</c:v>
                </c:pt>
                <c:pt idx="352" formatCode="mm\-dd\-yyyy">
                  <c:v>45935</c:v>
                </c:pt>
                <c:pt idx="353" formatCode="mm\-dd\-yyyy">
                  <c:v>45942</c:v>
                </c:pt>
                <c:pt idx="354" formatCode="mm\-dd\-yyyy">
                  <c:v>45949</c:v>
                </c:pt>
                <c:pt idx="355" formatCode="mm\-dd\-yyyy">
                  <c:v>45956</c:v>
                </c:pt>
                <c:pt idx="356" formatCode="mm\-dd\-yyyy">
                  <c:v>45963</c:v>
                </c:pt>
                <c:pt idx="357" formatCode="mm\-dd\-yyyy">
                  <c:v>45970</c:v>
                </c:pt>
                <c:pt idx="358" formatCode="mm\-dd\-yyyy">
                  <c:v>45977</c:v>
                </c:pt>
                <c:pt idx="359" formatCode="mm\-dd\-yyyy">
                  <c:v>45984</c:v>
                </c:pt>
                <c:pt idx="360" formatCode="mm\-dd\-yyyy">
                  <c:v>45991</c:v>
                </c:pt>
                <c:pt idx="361" formatCode="mm\-dd\-yyyy">
                  <c:v>45998</c:v>
                </c:pt>
                <c:pt idx="362" formatCode="mm\-dd\-yyyy">
                  <c:v>46005</c:v>
                </c:pt>
                <c:pt idx="363" formatCode="mm\-dd\-yyyy">
                  <c:v>46012</c:v>
                </c:pt>
              </c:numCache>
            </c:numRef>
          </c:cat>
          <c:val>
            <c:numRef>
              <c:f>'Kri-Kri Milk Stock Price Histor'!$D$2:$D$365</c:f>
              <c:numCache>
                <c:formatCode>General</c:formatCode>
                <c:ptCount val="364"/>
                <c:pt idx="0">
                  <c:v>923.63</c:v>
                </c:pt>
                <c:pt idx="1">
                  <c:v>934.22</c:v>
                </c:pt>
                <c:pt idx="2">
                  <c:v>948.64</c:v>
                </c:pt>
                <c:pt idx="3">
                  <c:v>910.9</c:v>
                </c:pt>
                <c:pt idx="4">
                  <c:v>910.91</c:v>
                </c:pt>
                <c:pt idx="5">
                  <c:v>922.3</c:v>
                </c:pt>
                <c:pt idx="6">
                  <c:v>893.03</c:v>
                </c:pt>
                <c:pt idx="7">
                  <c:v>720.35</c:v>
                </c:pt>
                <c:pt idx="8">
                  <c:v>684.74</c:v>
                </c:pt>
                <c:pt idx="9">
                  <c:v>551.97</c:v>
                </c:pt>
                <c:pt idx="10">
                  <c:v>555.13</c:v>
                </c:pt>
                <c:pt idx="11">
                  <c:v>550.85</c:v>
                </c:pt>
                <c:pt idx="12">
                  <c:v>540.74</c:v>
                </c:pt>
                <c:pt idx="13">
                  <c:v>607.29</c:v>
                </c:pt>
                <c:pt idx="14">
                  <c:v>606.75</c:v>
                </c:pt>
                <c:pt idx="15">
                  <c:v>606.41</c:v>
                </c:pt>
                <c:pt idx="16">
                  <c:v>628.25</c:v>
                </c:pt>
                <c:pt idx="17">
                  <c:v>604.04999999999995</c:v>
                </c:pt>
                <c:pt idx="18">
                  <c:v>593.26</c:v>
                </c:pt>
                <c:pt idx="19">
                  <c:v>609.20000000000005</c:v>
                </c:pt>
                <c:pt idx="20">
                  <c:v>652.58000000000004</c:v>
                </c:pt>
                <c:pt idx="21">
                  <c:v>683.46</c:v>
                </c:pt>
                <c:pt idx="22">
                  <c:v>646.79999999999995</c:v>
                </c:pt>
                <c:pt idx="23">
                  <c:v>668.34</c:v>
                </c:pt>
                <c:pt idx="24">
                  <c:v>641.95000000000005</c:v>
                </c:pt>
                <c:pt idx="25">
                  <c:v>658.55</c:v>
                </c:pt>
                <c:pt idx="26">
                  <c:v>632.97</c:v>
                </c:pt>
                <c:pt idx="27">
                  <c:v>641.48</c:v>
                </c:pt>
                <c:pt idx="28">
                  <c:v>634.32000000000005</c:v>
                </c:pt>
                <c:pt idx="29">
                  <c:v>617.61</c:v>
                </c:pt>
                <c:pt idx="30">
                  <c:v>632.63</c:v>
                </c:pt>
                <c:pt idx="31">
                  <c:v>634.37</c:v>
                </c:pt>
                <c:pt idx="32">
                  <c:v>633.27</c:v>
                </c:pt>
                <c:pt idx="33">
                  <c:v>634.47</c:v>
                </c:pt>
                <c:pt idx="34">
                  <c:v>639.29</c:v>
                </c:pt>
                <c:pt idx="35">
                  <c:v>636.03</c:v>
                </c:pt>
                <c:pt idx="36">
                  <c:v>658.54</c:v>
                </c:pt>
                <c:pt idx="37">
                  <c:v>617.9</c:v>
                </c:pt>
                <c:pt idx="38">
                  <c:v>625.66999999999996</c:v>
                </c:pt>
                <c:pt idx="39">
                  <c:v>651.47</c:v>
                </c:pt>
                <c:pt idx="40">
                  <c:v>620.17999999999995</c:v>
                </c:pt>
                <c:pt idx="41">
                  <c:v>612.32000000000005</c:v>
                </c:pt>
                <c:pt idx="42">
                  <c:v>569.5</c:v>
                </c:pt>
                <c:pt idx="43">
                  <c:v>588.1</c:v>
                </c:pt>
                <c:pt idx="44">
                  <c:v>655.68</c:v>
                </c:pt>
                <c:pt idx="45">
                  <c:v>699.45</c:v>
                </c:pt>
                <c:pt idx="46">
                  <c:v>736.6</c:v>
                </c:pt>
                <c:pt idx="47">
                  <c:v>784.95</c:v>
                </c:pt>
                <c:pt idx="48">
                  <c:v>779.04</c:v>
                </c:pt>
                <c:pt idx="49">
                  <c:v>800.06</c:v>
                </c:pt>
                <c:pt idx="50">
                  <c:v>787.48</c:v>
                </c:pt>
                <c:pt idx="51">
                  <c:v>808.99</c:v>
                </c:pt>
                <c:pt idx="52">
                  <c:v>819.27</c:v>
                </c:pt>
                <c:pt idx="53">
                  <c:v>790.14</c:v>
                </c:pt>
                <c:pt idx="54">
                  <c:v>778.98</c:v>
                </c:pt>
                <c:pt idx="55">
                  <c:v>749.46</c:v>
                </c:pt>
                <c:pt idx="56">
                  <c:v>764.6</c:v>
                </c:pt>
                <c:pt idx="57">
                  <c:v>776.09</c:v>
                </c:pt>
                <c:pt idx="58">
                  <c:v>781.42</c:v>
                </c:pt>
                <c:pt idx="59">
                  <c:v>792.38</c:v>
                </c:pt>
                <c:pt idx="60">
                  <c:v>825.02</c:v>
                </c:pt>
                <c:pt idx="61">
                  <c:v>849.81</c:v>
                </c:pt>
                <c:pt idx="62">
                  <c:v>833.07</c:v>
                </c:pt>
                <c:pt idx="63">
                  <c:v>851.82</c:v>
                </c:pt>
                <c:pt idx="64">
                  <c:v>875.22</c:v>
                </c:pt>
                <c:pt idx="65">
                  <c:v>891.69</c:v>
                </c:pt>
                <c:pt idx="66">
                  <c:v>898.63</c:v>
                </c:pt>
                <c:pt idx="67">
                  <c:v>899.58</c:v>
                </c:pt>
                <c:pt idx="68">
                  <c:v>910.37</c:v>
                </c:pt>
                <c:pt idx="69">
                  <c:v>897.01</c:v>
                </c:pt>
                <c:pt idx="70">
                  <c:v>907.08</c:v>
                </c:pt>
                <c:pt idx="71">
                  <c:v>867.56</c:v>
                </c:pt>
                <c:pt idx="72">
                  <c:v>887.6</c:v>
                </c:pt>
                <c:pt idx="73">
                  <c:v>901.6</c:v>
                </c:pt>
                <c:pt idx="74">
                  <c:v>925.83</c:v>
                </c:pt>
                <c:pt idx="75">
                  <c:v>905.55</c:v>
                </c:pt>
                <c:pt idx="76">
                  <c:v>907.76</c:v>
                </c:pt>
                <c:pt idx="77">
                  <c:v>886.66</c:v>
                </c:pt>
                <c:pt idx="78">
                  <c:v>874.25</c:v>
                </c:pt>
                <c:pt idx="79">
                  <c:v>866.81</c:v>
                </c:pt>
                <c:pt idx="80">
                  <c:v>864.44</c:v>
                </c:pt>
                <c:pt idx="81">
                  <c:v>888.26</c:v>
                </c:pt>
                <c:pt idx="82">
                  <c:v>893.47</c:v>
                </c:pt>
                <c:pt idx="83">
                  <c:v>895.29</c:v>
                </c:pt>
                <c:pt idx="84">
                  <c:v>883.11</c:v>
                </c:pt>
                <c:pt idx="85">
                  <c:v>914.39</c:v>
                </c:pt>
                <c:pt idx="86">
                  <c:v>915.05</c:v>
                </c:pt>
                <c:pt idx="87">
                  <c:v>901.13</c:v>
                </c:pt>
                <c:pt idx="88">
                  <c:v>912.81</c:v>
                </c:pt>
                <c:pt idx="89">
                  <c:v>873.1</c:v>
                </c:pt>
                <c:pt idx="90">
                  <c:v>871.06</c:v>
                </c:pt>
                <c:pt idx="91">
                  <c:v>892.6</c:v>
                </c:pt>
                <c:pt idx="92">
                  <c:v>894.74</c:v>
                </c:pt>
                <c:pt idx="93">
                  <c:v>905.04</c:v>
                </c:pt>
                <c:pt idx="94">
                  <c:v>898.06</c:v>
                </c:pt>
                <c:pt idx="95">
                  <c:v>906.85</c:v>
                </c:pt>
                <c:pt idx="96">
                  <c:v>913.94</c:v>
                </c:pt>
                <c:pt idx="97">
                  <c:v>915.02</c:v>
                </c:pt>
                <c:pt idx="98">
                  <c:v>858.93</c:v>
                </c:pt>
                <c:pt idx="99">
                  <c:v>879.23</c:v>
                </c:pt>
                <c:pt idx="100">
                  <c:v>898.63</c:v>
                </c:pt>
                <c:pt idx="101">
                  <c:v>887.5</c:v>
                </c:pt>
                <c:pt idx="102">
                  <c:v>890.73</c:v>
                </c:pt>
                <c:pt idx="103">
                  <c:v>893.34</c:v>
                </c:pt>
                <c:pt idx="104">
                  <c:v>906.48</c:v>
                </c:pt>
                <c:pt idx="105">
                  <c:v>949.39</c:v>
                </c:pt>
                <c:pt idx="106">
                  <c:v>942.46</c:v>
                </c:pt>
                <c:pt idx="107">
                  <c:v>924.42</c:v>
                </c:pt>
                <c:pt idx="108">
                  <c:v>945</c:v>
                </c:pt>
                <c:pt idx="109">
                  <c:v>971.09</c:v>
                </c:pt>
                <c:pt idx="110">
                  <c:v>955.93</c:v>
                </c:pt>
                <c:pt idx="111">
                  <c:v>927.25</c:v>
                </c:pt>
                <c:pt idx="112">
                  <c:v>821.74</c:v>
                </c:pt>
                <c:pt idx="113">
                  <c:v>827.96</c:v>
                </c:pt>
                <c:pt idx="114">
                  <c:v>862.86</c:v>
                </c:pt>
                <c:pt idx="115">
                  <c:v>843.11</c:v>
                </c:pt>
                <c:pt idx="116">
                  <c:v>890.7</c:v>
                </c:pt>
                <c:pt idx="117">
                  <c:v>906.26</c:v>
                </c:pt>
                <c:pt idx="118">
                  <c:v>918.96</c:v>
                </c:pt>
                <c:pt idx="119">
                  <c:v>949.68</c:v>
                </c:pt>
                <c:pt idx="120">
                  <c:v>922.43</c:v>
                </c:pt>
                <c:pt idx="121">
                  <c:v>866.75</c:v>
                </c:pt>
                <c:pt idx="122">
                  <c:v>867.03</c:v>
                </c:pt>
                <c:pt idx="123">
                  <c:v>860.06</c:v>
                </c:pt>
                <c:pt idx="124">
                  <c:v>891.41</c:v>
                </c:pt>
                <c:pt idx="125">
                  <c:v>896.89</c:v>
                </c:pt>
                <c:pt idx="126">
                  <c:v>862.55</c:v>
                </c:pt>
                <c:pt idx="127">
                  <c:v>825.41</c:v>
                </c:pt>
                <c:pt idx="128">
                  <c:v>834.83</c:v>
                </c:pt>
                <c:pt idx="129">
                  <c:v>805.79</c:v>
                </c:pt>
                <c:pt idx="130">
                  <c:v>802.16</c:v>
                </c:pt>
                <c:pt idx="131">
                  <c:v>794.62</c:v>
                </c:pt>
                <c:pt idx="132">
                  <c:v>829.97</c:v>
                </c:pt>
                <c:pt idx="133">
                  <c:v>851.05</c:v>
                </c:pt>
                <c:pt idx="134">
                  <c:v>849.23</c:v>
                </c:pt>
                <c:pt idx="135">
                  <c:v>878.76</c:v>
                </c:pt>
                <c:pt idx="136">
                  <c:v>899.16</c:v>
                </c:pt>
                <c:pt idx="137">
                  <c:v>893.74</c:v>
                </c:pt>
                <c:pt idx="138">
                  <c:v>844.78</c:v>
                </c:pt>
                <c:pt idx="139">
                  <c:v>841.91</c:v>
                </c:pt>
                <c:pt idx="140">
                  <c:v>836.17</c:v>
                </c:pt>
                <c:pt idx="141">
                  <c:v>798.11</c:v>
                </c:pt>
                <c:pt idx="142">
                  <c:v>792.9</c:v>
                </c:pt>
                <c:pt idx="143">
                  <c:v>814.06</c:v>
                </c:pt>
                <c:pt idx="144">
                  <c:v>832.32</c:v>
                </c:pt>
                <c:pt idx="145">
                  <c:v>854.99</c:v>
                </c:pt>
                <c:pt idx="146">
                  <c:v>860.76</c:v>
                </c:pt>
                <c:pt idx="147">
                  <c:v>879.1</c:v>
                </c:pt>
                <c:pt idx="148">
                  <c:v>897.78</c:v>
                </c:pt>
                <c:pt idx="149">
                  <c:v>889.9</c:v>
                </c:pt>
                <c:pt idx="150">
                  <c:v>917.64</c:v>
                </c:pt>
                <c:pt idx="151">
                  <c:v>903.97</c:v>
                </c:pt>
                <c:pt idx="152">
                  <c:v>915.99</c:v>
                </c:pt>
                <c:pt idx="153">
                  <c:v>911.85</c:v>
                </c:pt>
                <c:pt idx="154">
                  <c:v>921.25</c:v>
                </c:pt>
                <c:pt idx="155">
                  <c:v>929.79</c:v>
                </c:pt>
                <c:pt idx="156">
                  <c:v>951.45</c:v>
                </c:pt>
                <c:pt idx="157">
                  <c:v>968.38</c:v>
                </c:pt>
                <c:pt idx="158">
                  <c:v>979.06</c:v>
                </c:pt>
                <c:pt idx="159" formatCode="#,##0.00">
                  <c:v>1015.48</c:v>
                </c:pt>
                <c:pt idx="160" formatCode="#,##0.00">
                  <c:v>1033.44</c:v>
                </c:pt>
                <c:pt idx="161" formatCode="#,##0.00">
                  <c:v>1068.1199999999999</c:v>
                </c:pt>
                <c:pt idx="162" formatCode="#,##0.00">
                  <c:v>1102.76</c:v>
                </c:pt>
                <c:pt idx="163" formatCode="#,##0.00">
                  <c:v>1113.3599999999999</c:v>
                </c:pt>
                <c:pt idx="164" formatCode="#,##0.00">
                  <c:v>1114.68</c:v>
                </c:pt>
                <c:pt idx="165" formatCode="#,##0.00">
                  <c:v>1056.26</c:v>
                </c:pt>
                <c:pt idx="166" formatCode="#,##0.00">
                  <c:v>1020.19</c:v>
                </c:pt>
                <c:pt idx="167" formatCode="#,##0.00">
                  <c:v>1021.16</c:v>
                </c:pt>
                <c:pt idx="168" formatCode="#,##0.00">
                  <c:v>1054.5899999999999</c:v>
                </c:pt>
                <c:pt idx="169" formatCode="#,##0.00">
                  <c:v>1074</c:v>
                </c:pt>
                <c:pt idx="170" formatCode="#,##0.00">
                  <c:v>1102.79</c:v>
                </c:pt>
                <c:pt idx="171" formatCode="#,##0.00">
                  <c:v>1111.33</c:v>
                </c:pt>
                <c:pt idx="172" formatCode="#,##0.00">
                  <c:v>1085.1099999999999</c:v>
                </c:pt>
                <c:pt idx="173" formatCode="#,##0.00">
                  <c:v>1111.24</c:v>
                </c:pt>
                <c:pt idx="174" formatCode="#,##0.00">
                  <c:v>1122.75</c:v>
                </c:pt>
                <c:pt idx="175" formatCode="#,##0.00">
                  <c:v>1132.3399999999999</c:v>
                </c:pt>
                <c:pt idx="176" formatCode="#,##0.00">
                  <c:v>1220.8900000000001</c:v>
                </c:pt>
                <c:pt idx="177" formatCode="#,##0.00">
                  <c:v>1217.8599999999999</c:v>
                </c:pt>
                <c:pt idx="178" formatCode="#,##0.00">
                  <c:v>1261.67</c:v>
                </c:pt>
                <c:pt idx="179" formatCode="#,##0.00">
                  <c:v>1277.56</c:v>
                </c:pt>
                <c:pt idx="180" formatCode="#,##0.00">
                  <c:v>1268.71</c:v>
                </c:pt>
                <c:pt idx="181" formatCode="#,##0.00">
                  <c:v>1278.6099999999999</c:v>
                </c:pt>
                <c:pt idx="182" formatCode="#,##0.00">
                  <c:v>1278.3</c:v>
                </c:pt>
                <c:pt idx="183" formatCode="#,##0.00">
                  <c:v>1325.61</c:v>
                </c:pt>
                <c:pt idx="184" formatCode="#,##0.00">
                  <c:v>1339.18</c:v>
                </c:pt>
                <c:pt idx="185" formatCode="#,##0.00">
                  <c:v>1333.86</c:v>
                </c:pt>
                <c:pt idx="186" formatCode="#,##0.00">
                  <c:v>1319.52</c:v>
                </c:pt>
                <c:pt idx="187" formatCode="#,##0.00">
                  <c:v>1286.8599999999999</c:v>
                </c:pt>
                <c:pt idx="188" formatCode="#,##0.00">
                  <c:v>1263.3399999999999</c:v>
                </c:pt>
                <c:pt idx="189" formatCode="#,##0.00">
                  <c:v>1299.76</c:v>
                </c:pt>
                <c:pt idx="190" formatCode="#,##0.00">
                  <c:v>1299.47</c:v>
                </c:pt>
                <c:pt idx="191" formatCode="#,##0.00">
                  <c:v>1259.5</c:v>
                </c:pt>
                <c:pt idx="192" formatCode="#,##0.00">
                  <c:v>1258.58</c:v>
                </c:pt>
                <c:pt idx="193" formatCode="#,##0.00">
                  <c:v>1217.75</c:v>
                </c:pt>
                <c:pt idx="194" formatCode="#,##0.00">
                  <c:v>1209.3399999999999</c:v>
                </c:pt>
                <c:pt idx="195" formatCode="#,##0.00">
                  <c:v>1136.93</c:v>
                </c:pt>
                <c:pt idx="196" formatCode="#,##0.00">
                  <c:v>1169.6600000000001</c:v>
                </c:pt>
                <c:pt idx="197" formatCode="#,##0.00">
                  <c:v>1174.9100000000001</c:v>
                </c:pt>
                <c:pt idx="198" formatCode="#,##0.00">
                  <c:v>1178.79</c:v>
                </c:pt>
                <c:pt idx="199" formatCode="#,##0.00">
                  <c:v>1219.77</c:v>
                </c:pt>
                <c:pt idx="200" formatCode="#,##0.00">
                  <c:v>1203.08</c:v>
                </c:pt>
                <c:pt idx="201" formatCode="#,##0.00">
                  <c:v>1250.44</c:v>
                </c:pt>
                <c:pt idx="202" formatCode="#,##0.00">
                  <c:v>1258.73</c:v>
                </c:pt>
                <c:pt idx="203" formatCode="#,##0.00">
                  <c:v>1280.1099999999999</c:v>
                </c:pt>
                <c:pt idx="204" formatCode="#,##0.00">
                  <c:v>1275.0899999999999</c:v>
                </c:pt>
                <c:pt idx="205" formatCode="#,##0.00">
                  <c:v>1290.79</c:v>
                </c:pt>
                <c:pt idx="206" formatCode="#,##0.00">
                  <c:v>1290.8900000000001</c:v>
                </c:pt>
                <c:pt idx="207" formatCode="#,##0.00">
                  <c:v>1293.1400000000001</c:v>
                </c:pt>
                <c:pt idx="208" formatCode="#,##0.00">
                  <c:v>1311.67</c:v>
                </c:pt>
                <c:pt idx="209" formatCode="#,##0.00">
                  <c:v>1352.65</c:v>
                </c:pt>
                <c:pt idx="210" formatCode="#,##0.00">
                  <c:v>1340.03</c:v>
                </c:pt>
                <c:pt idx="211" formatCode="#,##0.00">
                  <c:v>1360.89</c:v>
                </c:pt>
                <c:pt idx="212" formatCode="#,##0.00">
                  <c:v>1385.01</c:v>
                </c:pt>
                <c:pt idx="213" formatCode="#,##0.00">
                  <c:v>1401.01</c:v>
                </c:pt>
                <c:pt idx="214" formatCode="#,##0.00">
                  <c:v>1405.32</c:v>
                </c:pt>
                <c:pt idx="215" formatCode="#,##0.00">
                  <c:v>1413.26</c:v>
                </c:pt>
                <c:pt idx="216" formatCode="#,##0.00">
                  <c:v>1422.75</c:v>
                </c:pt>
                <c:pt idx="217" formatCode="#,##0.00">
                  <c:v>1427.02</c:v>
                </c:pt>
                <c:pt idx="218" formatCode="#,##0.00">
                  <c:v>1422.03</c:v>
                </c:pt>
                <c:pt idx="219" formatCode="#,##0.00">
                  <c:v>1425.16</c:v>
                </c:pt>
                <c:pt idx="220" formatCode="#,##0.00">
                  <c:v>1422.35</c:v>
                </c:pt>
                <c:pt idx="221" formatCode="#,##0.00">
                  <c:v>1383.45</c:v>
                </c:pt>
                <c:pt idx="222" formatCode="#,##0.00">
                  <c:v>1400.61</c:v>
                </c:pt>
                <c:pt idx="223" formatCode="#,##0.00">
                  <c:v>1392.62</c:v>
                </c:pt>
                <c:pt idx="224" formatCode="#,##0.00">
                  <c:v>1454.98</c:v>
                </c:pt>
                <c:pt idx="225" formatCode="#,##0.00">
                  <c:v>1452.24</c:v>
                </c:pt>
                <c:pt idx="226" formatCode="#,##0.00">
                  <c:v>1484.06</c:v>
                </c:pt>
                <c:pt idx="227" formatCode="#,##0.00">
                  <c:v>1490.46</c:v>
                </c:pt>
                <c:pt idx="228" formatCode="#,##0.00">
                  <c:v>1477.69</c:v>
                </c:pt>
                <c:pt idx="229" formatCode="#,##0.00">
                  <c:v>1431.84</c:v>
                </c:pt>
                <c:pt idx="230" formatCode="#,##0.00">
                  <c:v>1458.37</c:v>
                </c:pt>
                <c:pt idx="231" formatCode="#,##0.00">
                  <c:v>1406.91</c:v>
                </c:pt>
                <c:pt idx="232" formatCode="#,##0.00">
                  <c:v>1424.04</c:v>
                </c:pt>
                <c:pt idx="233" formatCode="#,##0.00">
                  <c:v>1404.26</c:v>
                </c:pt>
                <c:pt idx="234" formatCode="#,##0.00">
                  <c:v>1440.52</c:v>
                </c:pt>
                <c:pt idx="235" formatCode="#,##0.00">
                  <c:v>1452.28</c:v>
                </c:pt>
                <c:pt idx="236" formatCode="#,##0.00">
                  <c:v>1464.39</c:v>
                </c:pt>
                <c:pt idx="237" formatCode="#,##0.00">
                  <c:v>1469.25</c:v>
                </c:pt>
                <c:pt idx="238" formatCode="#,##0.00">
                  <c:v>1430.9</c:v>
                </c:pt>
                <c:pt idx="239" formatCode="#,##0.00">
                  <c:v>1383.31</c:v>
                </c:pt>
                <c:pt idx="240" formatCode="#,##0.00">
                  <c:v>1431.88</c:v>
                </c:pt>
                <c:pt idx="241" formatCode="#,##0.00">
                  <c:v>1432.6</c:v>
                </c:pt>
                <c:pt idx="242" formatCode="#,##0.00">
                  <c:v>1431.19</c:v>
                </c:pt>
                <c:pt idx="243" formatCode="#,##0.00">
                  <c:v>1443.13</c:v>
                </c:pt>
                <c:pt idx="244" formatCode="#,##0.00">
                  <c:v>1419.24</c:v>
                </c:pt>
                <c:pt idx="245" formatCode="#,##0.00">
                  <c:v>1425.19</c:v>
                </c:pt>
                <c:pt idx="246" formatCode="#,##0.00">
                  <c:v>1468.7</c:v>
                </c:pt>
                <c:pt idx="247" formatCode="#,##0.00">
                  <c:v>1437.88</c:v>
                </c:pt>
                <c:pt idx="248" formatCode="#,##0.00">
                  <c:v>1416.78</c:v>
                </c:pt>
                <c:pt idx="249" formatCode="#,##0.00">
                  <c:v>1443.57</c:v>
                </c:pt>
                <c:pt idx="250" formatCode="#,##0.00">
                  <c:v>1390.25</c:v>
                </c:pt>
                <c:pt idx="251" formatCode="#,##0.00">
                  <c:v>1390.49</c:v>
                </c:pt>
                <c:pt idx="252" formatCode="#,##0.00">
                  <c:v>1413.13</c:v>
                </c:pt>
                <c:pt idx="253" formatCode="#,##0.00">
                  <c:v>1403.87</c:v>
                </c:pt>
                <c:pt idx="254" formatCode="#,##0.00">
                  <c:v>1401.58</c:v>
                </c:pt>
                <c:pt idx="255" formatCode="#,##0.00">
                  <c:v>1393.49</c:v>
                </c:pt>
                <c:pt idx="256" formatCode="#,##0.00">
                  <c:v>1456.52</c:v>
                </c:pt>
                <c:pt idx="257" formatCode="#,##0.00">
                  <c:v>1469.32</c:v>
                </c:pt>
                <c:pt idx="258" formatCode="#,##0.00">
                  <c:v>1452.5</c:v>
                </c:pt>
                <c:pt idx="259" formatCode="#,##0.00">
                  <c:v>1457.38</c:v>
                </c:pt>
                <c:pt idx="260" formatCode="#,##0.00">
                  <c:v>1486.83</c:v>
                </c:pt>
                <c:pt idx="261" formatCode="#,##0.00">
                  <c:v>1352.65</c:v>
                </c:pt>
                <c:pt idx="262" formatCode="#,##0.00">
                  <c:v>1340.03</c:v>
                </c:pt>
                <c:pt idx="263" formatCode="#,##0.00">
                  <c:v>1360.89</c:v>
                </c:pt>
                <c:pt idx="264" formatCode="#,##0.00">
                  <c:v>1385.01</c:v>
                </c:pt>
                <c:pt idx="265" formatCode="#,##0.00">
                  <c:v>1401.01</c:v>
                </c:pt>
                <c:pt idx="266" formatCode="#,##0.00">
                  <c:v>1405.32</c:v>
                </c:pt>
                <c:pt idx="267" formatCode="#,##0.00">
                  <c:v>1413.26</c:v>
                </c:pt>
                <c:pt idx="268" formatCode="#,##0.00">
                  <c:v>1422.75</c:v>
                </c:pt>
                <c:pt idx="269" formatCode="#,##0.00">
                  <c:v>1427.02</c:v>
                </c:pt>
                <c:pt idx="270" formatCode="#,##0.00">
                  <c:v>1422.03</c:v>
                </c:pt>
                <c:pt idx="271" formatCode="#,##0.00">
                  <c:v>1425.16</c:v>
                </c:pt>
                <c:pt idx="272" formatCode="#,##0.00">
                  <c:v>1422.35</c:v>
                </c:pt>
                <c:pt idx="273" formatCode="#,##0.00">
                  <c:v>1383.45</c:v>
                </c:pt>
                <c:pt idx="274" formatCode="#,##0.00">
                  <c:v>1400.61</c:v>
                </c:pt>
                <c:pt idx="275" formatCode="#,##0.00">
                  <c:v>1392.62</c:v>
                </c:pt>
                <c:pt idx="276" formatCode="#,##0.00">
                  <c:v>1454.98</c:v>
                </c:pt>
                <c:pt idx="277" formatCode="#,##0.00">
                  <c:v>1452.24</c:v>
                </c:pt>
                <c:pt idx="278" formatCode="#,##0.00">
                  <c:v>1484.06</c:v>
                </c:pt>
                <c:pt idx="279" formatCode="#,##0.00">
                  <c:v>1490.46</c:v>
                </c:pt>
                <c:pt idx="280" formatCode="#,##0.00">
                  <c:v>1477.69</c:v>
                </c:pt>
                <c:pt idx="281" formatCode="#,##0.00">
                  <c:v>1431.84</c:v>
                </c:pt>
                <c:pt idx="282" formatCode="#,##0.00">
                  <c:v>1458.37</c:v>
                </c:pt>
                <c:pt idx="283" formatCode="#,##0.00">
                  <c:v>1406.91</c:v>
                </c:pt>
                <c:pt idx="284" formatCode="#,##0.00">
                  <c:v>1424.04</c:v>
                </c:pt>
                <c:pt idx="285" formatCode="#,##0.00">
                  <c:v>1404.26</c:v>
                </c:pt>
                <c:pt idx="286" formatCode="#,##0.00">
                  <c:v>1440.52</c:v>
                </c:pt>
                <c:pt idx="287" formatCode="#,##0.00">
                  <c:v>1452.28</c:v>
                </c:pt>
                <c:pt idx="288" formatCode="#,##0.00">
                  <c:v>1464.39</c:v>
                </c:pt>
                <c:pt idx="289" formatCode="#,##0.00">
                  <c:v>1469.25</c:v>
                </c:pt>
                <c:pt idx="290" formatCode="#,##0.00">
                  <c:v>1430.9</c:v>
                </c:pt>
                <c:pt idx="291" formatCode="#,##0.00">
                  <c:v>1383.31</c:v>
                </c:pt>
                <c:pt idx="292" formatCode="#,##0.00">
                  <c:v>1431.88</c:v>
                </c:pt>
                <c:pt idx="293" formatCode="#,##0.00">
                  <c:v>1432.6</c:v>
                </c:pt>
                <c:pt idx="294" formatCode="#,##0.00">
                  <c:v>1431.19</c:v>
                </c:pt>
                <c:pt idx="295" formatCode="#,##0.00">
                  <c:v>1443.13</c:v>
                </c:pt>
                <c:pt idx="296" formatCode="#,##0.00">
                  <c:v>1419.24</c:v>
                </c:pt>
                <c:pt idx="297" formatCode="#,##0.00">
                  <c:v>1425.19</c:v>
                </c:pt>
                <c:pt idx="298" formatCode="#,##0.00">
                  <c:v>1468.7</c:v>
                </c:pt>
                <c:pt idx="299" formatCode="#,##0.00">
                  <c:v>1437.88</c:v>
                </c:pt>
                <c:pt idx="300" formatCode="#,##0.00">
                  <c:v>1416.78</c:v>
                </c:pt>
                <c:pt idx="301" formatCode="#,##0.00">
                  <c:v>1443.57</c:v>
                </c:pt>
                <c:pt idx="302" formatCode="#,##0.00">
                  <c:v>1390.25</c:v>
                </c:pt>
                <c:pt idx="303" formatCode="#,##0.00">
                  <c:v>1390.49</c:v>
                </c:pt>
                <c:pt idx="304" formatCode="#,##0.00">
                  <c:v>1413.13</c:v>
                </c:pt>
                <c:pt idx="305" formatCode="#,##0.00">
                  <c:v>1403.87</c:v>
                </c:pt>
                <c:pt idx="306" formatCode="#,##0.00">
                  <c:v>1401.58</c:v>
                </c:pt>
                <c:pt idx="307" formatCode="#,##0.00">
                  <c:v>1393.49</c:v>
                </c:pt>
                <c:pt idx="308" formatCode="#,##0.00">
                  <c:v>1456.52</c:v>
                </c:pt>
                <c:pt idx="309" formatCode="#,##0.00">
                  <c:v>1469.32</c:v>
                </c:pt>
                <c:pt idx="310" formatCode="#,##0.00">
                  <c:v>1452.5</c:v>
                </c:pt>
                <c:pt idx="311" formatCode="#,##0.00">
                  <c:v>1457.38</c:v>
                </c:pt>
                <c:pt idx="312" formatCode="#,##0.00">
                  <c:v>1486.83</c:v>
                </c:pt>
                <c:pt idx="313" formatCode="#,##0.00">
                  <c:v>1503.73</c:v>
                </c:pt>
                <c:pt idx="314" formatCode="#,##0.00">
                  <c:v>1524.67</c:v>
                </c:pt>
                <c:pt idx="315" formatCode="#,##0.00">
                  <c:v>1544.13</c:v>
                </c:pt>
                <c:pt idx="316" formatCode="#,##0.00">
                  <c:v>1549.32</c:v>
                </c:pt>
                <c:pt idx="317" formatCode="#,##0.00">
                  <c:v>1557.83</c:v>
                </c:pt>
                <c:pt idx="318" formatCode="#,##0.00">
                  <c:v>1604.29</c:v>
                </c:pt>
                <c:pt idx="319" formatCode="#,##0.00">
                  <c:v>1618.16</c:v>
                </c:pt>
                <c:pt idx="320" formatCode="#,##0.00">
                  <c:v>1607.79</c:v>
                </c:pt>
                <c:pt idx="321" formatCode="#,##0.00">
                  <c:v>1627.36</c:v>
                </c:pt>
                <c:pt idx="322" formatCode="#,##0.00">
                  <c:v>1693.61</c:v>
                </c:pt>
                <c:pt idx="323" formatCode="#,##0.00">
                  <c:v>1697.11</c:v>
                </c:pt>
                <c:pt idx="324" formatCode="#,##0.00">
                  <c:v>1735.68</c:v>
                </c:pt>
                <c:pt idx="325" formatCode="#,##0.00">
                  <c:v>1597.55</c:v>
                </c:pt>
                <c:pt idx="326" formatCode="#,##0.00">
                  <c:v>1582.59</c:v>
                </c:pt>
                <c:pt idx="327" formatCode="#,##0.00">
                  <c:v>1642.17</c:v>
                </c:pt>
                <c:pt idx="328" formatCode="#,##0.00">
                  <c:v>1705.61</c:v>
                </c:pt>
                <c:pt idx="329" formatCode="#,##0.00">
                  <c:v>1726.13</c:v>
                </c:pt>
                <c:pt idx="330" formatCode="#,##0.00">
                  <c:v>1750.48</c:v>
                </c:pt>
                <c:pt idx="331" formatCode="#,##0.00">
                  <c:v>1804.06</c:v>
                </c:pt>
                <c:pt idx="332" formatCode="#,##0.00">
                  <c:v>1802.34</c:v>
                </c:pt>
                <c:pt idx="333" formatCode="#,##0.00">
                  <c:v>1831.17</c:v>
                </c:pt>
                <c:pt idx="334" formatCode="#,##0.00">
                  <c:v>1842.83</c:v>
                </c:pt>
                <c:pt idx="335" formatCode="#,##0.00">
                  <c:v>1835.4</c:v>
                </c:pt>
                <c:pt idx="336" formatCode="#,##0.00">
                  <c:v>1802.06</c:v>
                </c:pt>
                <c:pt idx="337" formatCode="#,##0.00">
                  <c:v>1877.03</c:v>
                </c:pt>
                <c:pt idx="338" formatCode="#,##0.00">
                  <c:v>1918.09</c:v>
                </c:pt>
                <c:pt idx="339" formatCode="#,##0.00">
                  <c:v>1960.17</c:v>
                </c:pt>
                <c:pt idx="340" formatCode="#,##0.00">
                  <c:v>1985.52</c:v>
                </c:pt>
                <c:pt idx="341" formatCode="#,##0.00">
                  <c:v>1968.72</c:v>
                </c:pt>
                <c:pt idx="342" formatCode="#,##0.00">
                  <c:v>1960.06</c:v>
                </c:pt>
                <c:pt idx="343" formatCode="#,##0.00">
                  <c:v>2070.13</c:v>
                </c:pt>
                <c:pt idx="344" formatCode="#,##0.00">
                  <c:v>2126.1799999999998</c:v>
                </c:pt>
                <c:pt idx="345" formatCode="#,##0.00">
                  <c:v>2103.9299999999998</c:v>
                </c:pt>
                <c:pt idx="346" formatCode="#,##0.00">
                  <c:v>2021.69</c:v>
                </c:pt>
                <c:pt idx="347" formatCode="#,##0.00">
                  <c:v>2023.05</c:v>
                </c:pt>
                <c:pt idx="348" formatCode="#,##0.00">
                  <c:v>2062.73</c:v>
                </c:pt>
                <c:pt idx="349" formatCode="#,##0.00">
                  <c:v>2030.46</c:v>
                </c:pt>
                <c:pt idx="350" formatCode="#,##0.00">
                  <c:v>2031.81</c:v>
                </c:pt>
                <c:pt idx="351" formatCode="#,##0.00">
                  <c:v>2076.71</c:v>
                </c:pt>
                <c:pt idx="352" formatCode="#,##0.00">
                  <c:v>2110.14</c:v>
                </c:pt>
                <c:pt idx="353" formatCode="#,##0.00">
                  <c:v>1987.52</c:v>
                </c:pt>
                <c:pt idx="354" formatCode="#,##0.00">
                  <c:v>2011.41</c:v>
                </c:pt>
                <c:pt idx="355" formatCode="#,##0.00">
                  <c:v>1995.2</c:v>
                </c:pt>
                <c:pt idx="356" formatCode="#,##0.00">
                  <c:v>1986.89</c:v>
                </c:pt>
                <c:pt idx="357" formatCode="#,##0.00">
                  <c:v>2059.39</c:v>
                </c:pt>
                <c:pt idx="358" formatCode="#,##0.00">
                  <c:v>2061.69</c:v>
                </c:pt>
                <c:pt idx="359" formatCode="#,##0.00">
                  <c:v>2083.15</c:v>
                </c:pt>
                <c:pt idx="360" formatCode="#,##0.00">
                  <c:v>2104.7399999999998</c:v>
                </c:pt>
                <c:pt idx="361" formatCode="#,##0.00">
                  <c:v>2104.21</c:v>
                </c:pt>
                <c:pt idx="362" formatCode="#,##0.00">
                  <c:v>2112.46</c:v>
                </c:pt>
                <c:pt idx="363" formatCode="#,##0.00">
                  <c:v>2127.1999999999998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8-44A6-A83A-68F9DA29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6224"/>
        <c:axId val="44847104"/>
      </c:lineChart>
      <c:dateAx>
        <c:axId val="44861504"/>
        <c:scaling>
          <c:orientation val="minMax"/>
        </c:scaling>
        <c:delete val="0"/>
        <c:axPos val="b"/>
        <c:numFmt formatCode="dd\-mm\-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5184"/>
        <c:crosses val="autoZero"/>
        <c:auto val="1"/>
        <c:lblOffset val="100"/>
        <c:baseTimeUnit val="days"/>
      </c:dateAx>
      <c:valAx>
        <c:axId val="448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1504"/>
        <c:crosses val="autoZero"/>
        <c:crossBetween val="between"/>
      </c:valAx>
      <c:valAx>
        <c:axId val="448471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6224"/>
        <c:crosses val="max"/>
        <c:crossBetween val="between"/>
      </c:valAx>
      <c:dateAx>
        <c:axId val="44856224"/>
        <c:scaling>
          <c:orientation val="minMax"/>
        </c:scaling>
        <c:delete val="1"/>
        <c:axPos val="b"/>
        <c:numFmt formatCode="dd\-mm\-yyyy" sourceLinked="1"/>
        <c:majorTickMark val="out"/>
        <c:minorTickMark val="none"/>
        <c:tickLblPos val="nextTo"/>
        <c:crossAx val="4484710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5-Year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Histor'!$E$2:$E$365</c:f>
              <c:numCache>
                <c:formatCode>0.00%</c:formatCode>
                <c:ptCount val="364"/>
                <c:pt idx="0">
                  <c:v>3.8E-3</c:v>
                </c:pt>
                <c:pt idx="1">
                  <c:v>1.15E-2</c:v>
                </c:pt>
                <c:pt idx="2">
                  <c:v>1.54E-2</c:v>
                </c:pt>
                <c:pt idx="3">
                  <c:v>-3.9800000000000002E-2</c:v>
                </c:pt>
                <c:pt idx="4">
                  <c:v>0</c:v>
                </c:pt>
                <c:pt idx="5">
                  <c:v>1.2500000000000001E-2</c:v>
                </c:pt>
                <c:pt idx="6">
                  <c:v>-3.1699999999999999E-2</c:v>
                </c:pt>
                <c:pt idx="7">
                  <c:v>-0.19339999999999999</c:v>
                </c:pt>
                <c:pt idx="8">
                  <c:v>-4.9399999999999999E-2</c:v>
                </c:pt>
                <c:pt idx="9">
                  <c:v>-0.19389999999999999</c:v>
                </c:pt>
                <c:pt idx="10">
                  <c:v>5.7000000000000002E-3</c:v>
                </c:pt>
                <c:pt idx="11">
                  <c:v>-7.7000000000000002E-3</c:v>
                </c:pt>
                <c:pt idx="12">
                  <c:v>-1.84E-2</c:v>
                </c:pt>
                <c:pt idx="13">
                  <c:v>0.1231</c:v>
                </c:pt>
                <c:pt idx="14">
                  <c:v>-8.9999999999999998E-4</c:v>
                </c:pt>
                <c:pt idx="15">
                  <c:v>-5.9999999999999995E-4</c:v>
                </c:pt>
                <c:pt idx="16">
                  <c:v>3.5999999999999997E-2</c:v>
                </c:pt>
                <c:pt idx="17">
                  <c:v>-3.85E-2</c:v>
                </c:pt>
                <c:pt idx="18">
                  <c:v>-1.7899999999999999E-2</c:v>
                </c:pt>
                <c:pt idx="19">
                  <c:v>2.69E-2</c:v>
                </c:pt>
                <c:pt idx="20">
                  <c:v>7.1199999999999999E-2</c:v>
                </c:pt>
                <c:pt idx="21">
                  <c:v>4.7300000000000002E-2</c:v>
                </c:pt>
                <c:pt idx="22">
                  <c:v>-5.3600000000000002E-2</c:v>
                </c:pt>
                <c:pt idx="23">
                  <c:v>3.3300000000000003E-2</c:v>
                </c:pt>
                <c:pt idx="24">
                  <c:v>-3.95E-2</c:v>
                </c:pt>
                <c:pt idx="25">
                  <c:v>2.5899999999999999E-2</c:v>
                </c:pt>
                <c:pt idx="26">
                  <c:v>-3.8800000000000001E-2</c:v>
                </c:pt>
                <c:pt idx="27">
                  <c:v>1.34E-2</c:v>
                </c:pt>
                <c:pt idx="28">
                  <c:v>-1.12E-2</c:v>
                </c:pt>
                <c:pt idx="29">
                  <c:v>-2.63E-2</c:v>
                </c:pt>
                <c:pt idx="30">
                  <c:v>2.4299999999999999E-2</c:v>
                </c:pt>
                <c:pt idx="31">
                  <c:v>2.8E-3</c:v>
                </c:pt>
                <c:pt idx="32">
                  <c:v>-1.6999999999999999E-3</c:v>
                </c:pt>
                <c:pt idx="33">
                  <c:v>1.9E-3</c:v>
                </c:pt>
                <c:pt idx="34">
                  <c:v>7.6E-3</c:v>
                </c:pt>
                <c:pt idx="35">
                  <c:v>-5.1000000000000004E-3</c:v>
                </c:pt>
                <c:pt idx="36">
                  <c:v>3.5400000000000001E-2</c:v>
                </c:pt>
                <c:pt idx="37">
                  <c:v>-6.1699999999999998E-2</c:v>
                </c:pt>
                <c:pt idx="38">
                  <c:v>1.26E-2</c:v>
                </c:pt>
                <c:pt idx="39">
                  <c:v>4.1200000000000001E-2</c:v>
                </c:pt>
                <c:pt idx="40">
                  <c:v>-4.8000000000000001E-2</c:v>
                </c:pt>
                <c:pt idx="41">
                  <c:v>-1.2699999999999999E-2</c:v>
                </c:pt>
                <c:pt idx="42">
                  <c:v>-6.9900000000000004E-2</c:v>
                </c:pt>
                <c:pt idx="43">
                  <c:v>3.27E-2</c:v>
                </c:pt>
                <c:pt idx="44">
                  <c:v>0.1149</c:v>
                </c:pt>
                <c:pt idx="45">
                  <c:v>6.6799999999999998E-2</c:v>
                </c:pt>
                <c:pt idx="46">
                  <c:v>5.3100000000000001E-2</c:v>
                </c:pt>
                <c:pt idx="47">
                  <c:v>6.5600000000000006E-2</c:v>
                </c:pt>
                <c:pt idx="48">
                  <c:v>-7.4999999999999997E-3</c:v>
                </c:pt>
                <c:pt idx="49">
                  <c:v>2.7E-2</c:v>
                </c:pt>
                <c:pt idx="50">
                  <c:v>-1.5699999999999999E-2</c:v>
                </c:pt>
                <c:pt idx="51">
                  <c:v>2.7300000000000001E-2</c:v>
                </c:pt>
                <c:pt idx="52">
                  <c:v>1.2699999999999999E-2</c:v>
                </c:pt>
                <c:pt idx="53">
                  <c:v>-3.56E-2</c:v>
                </c:pt>
                <c:pt idx="54">
                  <c:v>-1.41E-2</c:v>
                </c:pt>
                <c:pt idx="55">
                  <c:v>-3.7900000000000003E-2</c:v>
                </c:pt>
                <c:pt idx="56">
                  <c:v>2.0199999999999999E-2</c:v>
                </c:pt>
                <c:pt idx="57">
                  <c:v>1.4999999999999999E-2</c:v>
                </c:pt>
                <c:pt idx="58">
                  <c:v>6.8999999999999999E-3</c:v>
                </c:pt>
                <c:pt idx="59">
                  <c:v>1.4E-2</c:v>
                </c:pt>
                <c:pt idx="60">
                  <c:v>4.1200000000000001E-2</c:v>
                </c:pt>
                <c:pt idx="61">
                  <c:v>0.03</c:v>
                </c:pt>
                <c:pt idx="62">
                  <c:v>-1.9699999999999999E-2</c:v>
                </c:pt>
                <c:pt idx="63">
                  <c:v>2.2499999999999999E-2</c:v>
                </c:pt>
                <c:pt idx="64">
                  <c:v>2.75E-2</c:v>
                </c:pt>
                <c:pt idx="65">
                  <c:v>1.8800000000000001E-2</c:v>
                </c:pt>
                <c:pt idx="66">
                  <c:v>7.7999999999999996E-3</c:v>
                </c:pt>
                <c:pt idx="67">
                  <c:v>1.1000000000000001E-3</c:v>
                </c:pt>
                <c:pt idx="68">
                  <c:v>1.2E-2</c:v>
                </c:pt>
                <c:pt idx="69">
                  <c:v>-1.47E-2</c:v>
                </c:pt>
                <c:pt idx="70">
                  <c:v>1.12E-2</c:v>
                </c:pt>
                <c:pt idx="71">
                  <c:v>-4.36E-2</c:v>
                </c:pt>
                <c:pt idx="72">
                  <c:v>2.3099999999999999E-2</c:v>
                </c:pt>
                <c:pt idx="73">
                  <c:v>1.5800000000000002E-2</c:v>
                </c:pt>
                <c:pt idx="74">
                  <c:v>2.69E-2</c:v>
                </c:pt>
                <c:pt idx="75">
                  <c:v>-2.1899999999999999E-2</c:v>
                </c:pt>
                <c:pt idx="76">
                  <c:v>2.3999999999999998E-3</c:v>
                </c:pt>
                <c:pt idx="77">
                  <c:v>-2.3199999999999998E-2</c:v>
                </c:pt>
                <c:pt idx="78">
                  <c:v>-1.4E-2</c:v>
                </c:pt>
                <c:pt idx="79">
                  <c:v>-8.5000000000000006E-3</c:v>
                </c:pt>
                <c:pt idx="80">
                  <c:v>-2.7000000000000001E-3</c:v>
                </c:pt>
                <c:pt idx="81">
                  <c:v>2.76E-2</c:v>
                </c:pt>
                <c:pt idx="82">
                  <c:v>5.8999999999999999E-3</c:v>
                </c:pt>
                <c:pt idx="83">
                  <c:v>2E-3</c:v>
                </c:pt>
                <c:pt idx="84">
                  <c:v>-1.3599999999999999E-2</c:v>
                </c:pt>
                <c:pt idx="85">
                  <c:v>3.5400000000000001E-2</c:v>
                </c:pt>
                <c:pt idx="86">
                  <c:v>6.9999999999999999E-4</c:v>
                </c:pt>
                <c:pt idx="87">
                  <c:v>-1.52E-2</c:v>
                </c:pt>
                <c:pt idx="88">
                  <c:v>1.2999999999999999E-2</c:v>
                </c:pt>
                <c:pt idx="89">
                  <c:v>-4.3499999999999997E-2</c:v>
                </c:pt>
                <c:pt idx="90">
                  <c:v>-2.3E-3</c:v>
                </c:pt>
                <c:pt idx="91">
                  <c:v>2.47E-2</c:v>
                </c:pt>
                <c:pt idx="92">
                  <c:v>2.3999999999999998E-3</c:v>
                </c:pt>
                <c:pt idx="93">
                  <c:v>1.15E-2</c:v>
                </c:pt>
                <c:pt idx="94">
                  <c:v>-7.7000000000000002E-3</c:v>
                </c:pt>
                <c:pt idx="95">
                  <c:v>9.7999999999999997E-3</c:v>
                </c:pt>
                <c:pt idx="96">
                  <c:v>7.7999999999999996E-3</c:v>
                </c:pt>
                <c:pt idx="97">
                  <c:v>1.1999999999999999E-3</c:v>
                </c:pt>
                <c:pt idx="98">
                  <c:v>-6.13E-2</c:v>
                </c:pt>
                <c:pt idx="99">
                  <c:v>2.3599999999999999E-2</c:v>
                </c:pt>
                <c:pt idx="100">
                  <c:v>2.2100000000000002E-2</c:v>
                </c:pt>
                <c:pt idx="101">
                  <c:v>-1.24E-2</c:v>
                </c:pt>
                <c:pt idx="102">
                  <c:v>3.5999999999999999E-3</c:v>
                </c:pt>
                <c:pt idx="103">
                  <c:v>2.8999999999999998E-3</c:v>
                </c:pt>
                <c:pt idx="104">
                  <c:v>1.47E-2</c:v>
                </c:pt>
                <c:pt idx="105">
                  <c:v>4.7300000000000002E-2</c:v>
                </c:pt>
                <c:pt idx="106">
                  <c:v>-7.3000000000000001E-3</c:v>
                </c:pt>
                <c:pt idx="107">
                  <c:v>-1.9099999999999999E-2</c:v>
                </c:pt>
                <c:pt idx="108">
                  <c:v>2.23E-2</c:v>
                </c:pt>
                <c:pt idx="109">
                  <c:v>2.76E-2</c:v>
                </c:pt>
                <c:pt idx="110">
                  <c:v>-1.5599999999999999E-2</c:v>
                </c:pt>
                <c:pt idx="111">
                  <c:v>-0.03</c:v>
                </c:pt>
                <c:pt idx="112">
                  <c:v>-0.1138</c:v>
                </c:pt>
                <c:pt idx="113">
                  <c:v>7.6E-3</c:v>
                </c:pt>
                <c:pt idx="114">
                  <c:v>4.2200000000000001E-2</c:v>
                </c:pt>
                <c:pt idx="115">
                  <c:v>-2.29E-2</c:v>
                </c:pt>
                <c:pt idx="116">
                  <c:v>5.6399999999999999E-2</c:v>
                </c:pt>
                <c:pt idx="117">
                  <c:v>1.7500000000000002E-2</c:v>
                </c:pt>
                <c:pt idx="118">
                  <c:v>1.4E-2</c:v>
                </c:pt>
                <c:pt idx="119">
                  <c:v>3.3399999999999999E-2</c:v>
                </c:pt>
                <c:pt idx="120">
                  <c:v>-2.87E-2</c:v>
                </c:pt>
                <c:pt idx="121">
                  <c:v>-6.0400000000000002E-2</c:v>
                </c:pt>
                <c:pt idx="122">
                  <c:v>2.9999999999999997E-4</c:v>
                </c:pt>
                <c:pt idx="123">
                  <c:v>-8.0000000000000002E-3</c:v>
                </c:pt>
                <c:pt idx="124">
                  <c:v>3.6499999999999998E-2</c:v>
                </c:pt>
                <c:pt idx="125">
                  <c:v>6.1000000000000004E-3</c:v>
                </c:pt>
                <c:pt idx="126">
                  <c:v>-3.8300000000000001E-2</c:v>
                </c:pt>
                <c:pt idx="127">
                  <c:v>-4.3099999999999999E-2</c:v>
                </c:pt>
                <c:pt idx="128">
                  <c:v>1.14E-2</c:v>
                </c:pt>
                <c:pt idx="129">
                  <c:v>-3.4799999999999998E-2</c:v>
                </c:pt>
                <c:pt idx="130">
                  <c:v>-4.4999999999999997E-3</c:v>
                </c:pt>
                <c:pt idx="131">
                  <c:v>-9.4000000000000004E-3</c:v>
                </c:pt>
                <c:pt idx="132">
                  <c:v>4.4499999999999998E-2</c:v>
                </c:pt>
                <c:pt idx="133">
                  <c:v>2.5399999999999999E-2</c:v>
                </c:pt>
                <c:pt idx="134">
                  <c:v>-2.0999999999999999E-3</c:v>
                </c:pt>
                <c:pt idx="135">
                  <c:v>3.4799999999999998E-2</c:v>
                </c:pt>
                <c:pt idx="136">
                  <c:v>2.3199999999999998E-2</c:v>
                </c:pt>
                <c:pt idx="137">
                  <c:v>-6.0000000000000001E-3</c:v>
                </c:pt>
                <c:pt idx="138">
                  <c:v>-5.4800000000000001E-2</c:v>
                </c:pt>
                <c:pt idx="139">
                  <c:v>-3.3999999999999998E-3</c:v>
                </c:pt>
                <c:pt idx="140">
                  <c:v>-6.7999999999999996E-3</c:v>
                </c:pt>
                <c:pt idx="141">
                  <c:v>-4.5499999999999999E-2</c:v>
                </c:pt>
                <c:pt idx="142">
                  <c:v>-6.4999999999999997E-3</c:v>
                </c:pt>
                <c:pt idx="143">
                  <c:v>2.6700000000000002E-2</c:v>
                </c:pt>
                <c:pt idx="144">
                  <c:v>2.24E-2</c:v>
                </c:pt>
                <c:pt idx="145">
                  <c:v>2.7199999999999998E-2</c:v>
                </c:pt>
                <c:pt idx="146">
                  <c:v>6.7000000000000002E-3</c:v>
                </c:pt>
                <c:pt idx="147">
                  <c:v>2.1299999999999999E-2</c:v>
                </c:pt>
                <c:pt idx="148">
                  <c:v>2.12E-2</c:v>
                </c:pt>
                <c:pt idx="149">
                  <c:v>-8.8000000000000005E-3</c:v>
                </c:pt>
                <c:pt idx="150">
                  <c:v>3.1199999999999999E-2</c:v>
                </c:pt>
                <c:pt idx="151">
                  <c:v>-1.49E-2</c:v>
                </c:pt>
                <c:pt idx="152">
                  <c:v>1.3299999999999999E-2</c:v>
                </c:pt>
                <c:pt idx="153">
                  <c:v>-4.4999999999999997E-3</c:v>
                </c:pt>
                <c:pt idx="154">
                  <c:v>1.03E-2</c:v>
                </c:pt>
                <c:pt idx="155">
                  <c:v>9.2999999999999992E-3</c:v>
                </c:pt>
                <c:pt idx="156">
                  <c:v>2.3300000000000001E-2</c:v>
                </c:pt>
                <c:pt idx="157">
                  <c:v>1.78E-2</c:v>
                </c:pt>
                <c:pt idx="158">
                  <c:v>1.0999999999999999E-2</c:v>
                </c:pt>
                <c:pt idx="159">
                  <c:v>3.7199999999999997E-2</c:v>
                </c:pt>
                <c:pt idx="160">
                  <c:v>1.77E-2</c:v>
                </c:pt>
                <c:pt idx="161">
                  <c:v>3.3599999999999998E-2</c:v>
                </c:pt>
                <c:pt idx="162">
                  <c:v>3.2399999999999998E-2</c:v>
                </c:pt>
                <c:pt idx="163">
                  <c:v>9.5999999999999992E-3</c:v>
                </c:pt>
                <c:pt idx="164">
                  <c:v>1.1999999999999999E-3</c:v>
                </c:pt>
                <c:pt idx="165">
                  <c:v>-5.2400000000000002E-2</c:v>
                </c:pt>
                <c:pt idx="166">
                  <c:v>-3.4099999999999998E-2</c:v>
                </c:pt>
                <c:pt idx="167">
                  <c:v>1E-3</c:v>
                </c:pt>
                <c:pt idx="168">
                  <c:v>3.27E-2</c:v>
                </c:pt>
                <c:pt idx="169">
                  <c:v>1.84E-2</c:v>
                </c:pt>
                <c:pt idx="170">
                  <c:v>2.6800000000000001E-2</c:v>
                </c:pt>
                <c:pt idx="171">
                  <c:v>7.7000000000000002E-3</c:v>
                </c:pt>
                <c:pt idx="172">
                  <c:v>-2.3599999999999999E-2</c:v>
                </c:pt>
                <c:pt idx="173">
                  <c:v>2.41E-2</c:v>
                </c:pt>
                <c:pt idx="174">
                  <c:v>1.04E-2</c:v>
                </c:pt>
                <c:pt idx="175">
                  <c:v>8.5000000000000006E-3</c:v>
                </c:pt>
                <c:pt idx="176">
                  <c:v>7.8200000000000006E-2</c:v>
                </c:pt>
                <c:pt idx="177">
                  <c:v>-2.5000000000000001E-3</c:v>
                </c:pt>
                <c:pt idx="178">
                  <c:v>3.5999999999999997E-2</c:v>
                </c:pt>
                <c:pt idx="179">
                  <c:v>1.26E-2</c:v>
                </c:pt>
                <c:pt idx="180">
                  <c:v>-6.8999999999999999E-3</c:v>
                </c:pt>
                <c:pt idx="181">
                  <c:v>7.7999999999999996E-3</c:v>
                </c:pt>
                <c:pt idx="182">
                  <c:v>-2.0000000000000001E-4</c:v>
                </c:pt>
                <c:pt idx="183">
                  <c:v>3.6999999999999998E-2</c:v>
                </c:pt>
                <c:pt idx="184">
                  <c:v>1.0200000000000001E-2</c:v>
                </c:pt>
                <c:pt idx="185">
                  <c:v>-4.0000000000000001E-3</c:v>
                </c:pt>
                <c:pt idx="186">
                  <c:v>-1.0800000000000001E-2</c:v>
                </c:pt>
                <c:pt idx="187">
                  <c:v>-2.4799999999999999E-2</c:v>
                </c:pt>
                <c:pt idx="188">
                  <c:v>-1.83E-2</c:v>
                </c:pt>
                <c:pt idx="189">
                  <c:v>2.8799999999999999E-2</c:v>
                </c:pt>
                <c:pt idx="190">
                  <c:v>-2.0000000000000001E-4</c:v>
                </c:pt>
                <c:pt idx="191">
                  <c:v>-3.0800000000000001E-2</c:v>
                </c:pt>
                <c:pt idx="192">
                  <c:v>-6.9999999999999999E-4</c:v>
                </c:pt>
                <c:pt idx="193">
                  <c:v>-3.2399999999999998E-2</c:v>
                </c:pt>
                <c:pt idx="194">
                  <c:v>-6.8999999999999999E-3</c:v>
                </c:pt>
                <c:pt idx="195">
                  <c:v>-5.9900000000000002E-2</c:v>
                </c:pt>
                <c:pt idx="196">
                  <c:v>2.8799999999999999E-2</c:v>
                </c:pt>
                <c:pt idx="197">
                  <c:v>4.4999999999999997E-3</c:v>
                </c:pt>
                <c:pt idx="198">
                  <c:v>3.3E-3</c:v>
                </c:pt>
                <c:pt idx="199">
                  <c:v>3.4799999999999998E-2</c:v>
                </c:pt>
                <c:pt idx="200">
                  <c:v>-1.37E-2</c:v>
                </c:pt>
                <c:pt idx="201">
                  <c:v>3.9399999999999998E-2</c:v>
                </c:pt>
                <c:pt idx="202">
                  <c:v>6.6E-3</c:v>
                </c:pt>
                <c:pt idx="203">
                  <c:v>1.7000000000000001E-2</c:v>
                </c:pt>
                <c:pt idx="204">
                  <c:v>-3.8999999999999998E-3</c:v>
                </c:pt>
                <c:pt idx="205">
                  <c:v>1.23E-2</c:v>
                </c:pt>
                <c:pt idx="206">
                  <c:v>1E-4</c:v>
                </c:pt>
                <c:pt idx="207">
                  <c:v>1.6999999999999999E-3</c:v>
                </c:pt>
                <c:pt idx="208">
                  <c:v>1.43E-2</c:v>
                </c:pt>
                <c:pt idx="209">
                  <c:v>3.1199999999999999E-2</c:v>
                </c:pt>
                <c:pt idx="210">
                  <c:v>-9.2999999999999992E-3</c:v>
                </c:pt>
                <c:pt idx="211">
                  <c:v>1.5599999999999999E-2</c:v>
                </c:pt>
                <c:pt idx="212">
                  <c:v>1.77E-2</c:v>
                </c:pt>
                <c:pt idx="213">
                  <c:v>1.1599999999999999E-2</c:v>
                </c:pt>
                <c:pt idx="214">
                  <c:v>3.0999999999999999E-3</c:v>
                </c:pt>
                <c:pt idx="215">
                  <c:v>5.7000000000000002E-3</c:v>
                </c:pt>
                <c:pt idx="216">
                  <c:v>6.7000000000000002E-3</c:v>
                </c:pt>
                <c:pt idx="217">
                  <c:v>3.0000000000000001E-3</c:v>
                </c:pt>
                <c:pt idx="218">
                  <c:v>-3.5000000000000001E-3</c:v>
                </c:pt>
                <c:pt idx="219">
                  <c:v>2.2000000000000001E-3</c:v>
                </c:pt>
                <c:pt idx="220">
                  <c:v>-2E-3</c:v>
                </c:pt>
                <c:pt idx="221">
                  <c:v>-2.7300000000000001E-2</c:v>
                </c:pt>
                <c:pt idx="222">
                  <c:v>1.24E-2</c:v>
                </c:pt>
                <c:pt idx="223">
                  <c:v>-5.7000000000000002E-3</c:v>
                </c:pt>
                <c:pt idx="224">
                  <c:v>4.48E-2</c:v>
                </c:pt>
                <c:pt idx="225">
                  <c:v>-1.9E-3</c:v>
                </c:pt>
                <c:pt idx="226">
                  <c:v>2.1899999999999999E-2</c:v>
                </c:pt>
                <c:pt idx="227">
                  <c:v>4.3E-3</c:v>
                </c:pt>
                <c:pt idx="228">
                  <c:v>-8.6E-3</c:v>
                </c:pt>
                <c:pt idx="229">
                  <c:v>-3.1E-2</c:v>
                </c:pt>
                <c:pt idx="230">
                  <c:v>1.8499999999999999E-2</c:v>
                </c:pt>
                <c:pt idx="231">
                  <c:v>-3.5299999999999998E-2</c:v>
                </c:pt>
                <c:pt idx="232">
                  <c:v>1.2200000000000001E-2</c:v>
                </c:pt>
                <c:pt idx="233">
                  <c:v>-1.3899999999999999E-2</c:v>
                </c:pt>
                <c:pt idx="234">
                  <c:v>2.58E-2</c:v>
                </c:pt>
                <c:pt idx="235">
                  <c:v>8.2000000000000007E-3</c:v>
                </c:pt>
                <c:pt idx="236">
                  <c:v>8.3000000000000001E-3</c:v>
                </c:pt>
                <c:pt idx="237">
                  <c:v>3.3E-3</c:v>
                </c:pt>
                <c:pt idx="238">
                  <c:v>-2.6100000000000002E-2</c:v>
                </c:pt>
                <c:pt idx="239">
                  <c:v>-3.3300000000000003E-2</c:v>
                </c:pt>
                <c:pt idx="240">
                  <c:v>3.5099999999999999E-2</c:v>
                </c:pt>
                <c:pt idx="241">
                  <c:v>5.0000000000000001E-4</c:v>
                </c:pt>
                <c:pt idx="242">
                  <c:v>-1E-3</c:v>
                </c:pt>
                <c:pt idx="243">
                  <c:v>8.3000000000000001E-3</c:v>
                </c:pt>
                <c:pt idx="244">
                  <c:v>-1.66E-2</c:v>
                </c:pt>
                <c:pt idx="245">
                  <c:v>4.1999999999999997E-3</c:v>
                </c:pt>
                <c:pt idx="246">
                  <c:v>3.0499999999999999E-2</c:v>
                </c:pt>
                <c:pt idx="247">
                  <c:v>-2.1000000000000001E-2</c:v>
                </c:pt>
                <c:pt idx="248">
                  <c:v>-1.47E-2</c:v>
                </c:pt>
                <c:pt idx="249">
                  <c:v>1.89E-2</c:v>
                </c:pt>
                <c:pt idx="250">
                  <c:v>-3.6900000000000002E-2</c:v>
                </c:pt>
                <c:pt idx="251">
                  <c:v>2.0000000000000001E-4</c:v>
                </c:pt>
                <c:pt idx="252">
                  <c:v>1.6299999999999999E-2</c:v>
                </c:pt>
                <c:pt idx="253">
                  <c:v>-6.6E-3</c:v>
                </c:pt>
                <c:pt idx="254">
                  <c:v>-1.6000000000000001E-3</c:v>
                </c:pt>
                <c:pt idx="255">
                  <c:v>-5.7999999999999996E-3</c:v>
                </c:pt>
                <c:pt idx="256">
                  <c:v>4.5199999999999997E-2</c:v>
                </c:pt>
                <c:pt idx="257">
                  <c:v>8.8000000000000005E-3</c:v>
                </c:pt>
                <c:pt idx="258">
                  <c:v>-1.14E-2</c:v>
                </c:pt>
                <c:pt idx="259">
                  <c:v>3.3999999999999998E-3</c:v>
                </c:pt>
                <c:pt idx="260">
                  <c:v>2.0199999999999999E-2</c:v>
                </c:pt>
                <c:pt idx="261">
                  <c:v>3.1199999999999999E-2</c:v>
                </c:pt>
                <c:pt idx="262">
                  <c:v>-9.2999999999999992E-3</c:v>
                </c:pt>
                <c:pt idx="263">
                  <c:v>1.5599999999999999E-2</c:v>
                </c:pt>
                <c:pt idx="264">
                  <c:v>1.77E-2</c:v>
                </c:pt>
                <c:pt idx="265">
                  <c:v>1.1599999999999999E-2</c:v>
                </c:pt>
                <c:pt idx="266">
                  <c:v>3.0999999999999999E-3</c:v>
                </c:pt>
                <c:pt idx="267">
                  <c:v>5.7000000000000002E-3</c:v>
                </c:pt>
                <c:pt idx="268">
                  <c:v>6.7000000000000002E-3</c:v>
                </c:pt>
                <c:pt idx="269">
                  <c:v>3.0000000000000001E-3</c:v>
                </c:pt>
                <c:pt idx="270">
                  <c:v>-3.5000000000000001E-3</c:v>
                </c:pt>
                <c:pt idx="271">
                  <c:v>2.2000000000000001E-3</c:v>
                </c:pt>
                <c:pt idx="272">
                  <c:v>-2E-3</c:v>
                </c:pt>
                <c:pt idx="273">
                  <c:v>-2.7300000000000001E-2</c:v>
                </c:pt>
                <c:pt idx="274">
                  <c:v>1.24E-2</c:v>
                </c:pt>
                <c:pt idx="275">
                  <c:v>-5.7000000000000002E-3</c:v>
                </c:pt>
                <c:pt idx="276">
                  <c:v>4.48E-2</c:v>
                </c:pt>
                <c:pt idx="277">
                  <c:v>-1.9E-3</c:v>
                </c:pt>
                <c:pt idx="278">
                  <c:v>2.1899999999999999E-2</c:v>
                </c:pt>
                <c:pt idx="279">
                  <c:v>4.3E-3</c:v>
                </c:pt>
                <c:pt idx="280">
                  <c:v>-8.6E-3</c:v>
                </c:pt>
                <c:pt idx="281">
                  <c:v>-3.1E-2</c:v>
                </c:pt>
                <c:pt idx="282">
                  <c:v>1.8499999999999999E-2</c:v>
                </c:pt>
                <c:pt idx="283">
                  <c:v>-3.5299999999999998E-2</c:v>
                </c:pt>
                <c:pt idx="284">
                  <c:v>1.2200000000000001E-2</c:v>
                </c:pt>
                <c:pt idx="285">
                  <c:v>-1.3899999999999999E-2</c:v>
                </c:pt>
                <c:pt idx="286">
                  <c:v>2.58E-2</c:v>
                </c:pt>
                <c:pt idx="287">
                  <c:v>8.2000000000000007E-3</c:v>
                </c:pt>
                <c:pt idx="288">
                  <c:v>8.3000000000000001E-3</c:v>
                </c:pt>
                <c:pt idx="289">
                  <c:v>3.3E-3</c:v>
                </c:pt>
                <c:pt idx="290">
                  <c:v>-2.6100000000000002E-2</c:v>
                </c:pt>
                <c:pt idx="291">
                  <c:v>-3.3300000000000003E-2</c:v>
                </c:pt>
                <c:pt idx="292">
                  <c:v>3.5099999999999999E-2</c:v>
                </c:pt>
                <c:pt idx="293">
                  <c:v>5.0000000000000001E-4</c:v>
                </c:pt>
                <c:pt idx="294">
                  <c:v>-1E-3</c:v>
                </c:pt>
                <c:pt idx="295">
                  <c:v>8.3000000000000001E-3</c:v>
                </c:pt>
                <c:pt idx="296">
                  <c:v>-1.66E-2</c:v>
                </c:pt>
                <c:pt idx="297">
                  <c:v>4.1999999999999997E-3</c:v>
                </c:pt>
                <c:pt idx="298">
                  <c:v>3.0499999999999999E-2</c:v>
                </c:pt>
                <c:pt idx="299">
                  <c:v>-2.1000000000000001E-2</c:v>
                </c:pt>
                <c:pt idx="300">
                  <c:v>-1.47E-2</c:v>
                </c:pt>
                <c:pt idx="301">
                  <c:v>1.89E-2</c:v>
                </c:pt>
                <c:pt idx="302">
                  <c:v>-3.6900000000000002E-2</c:v>
                </c:pt>
                <c:pt idx="303">
                  <c:v>2.0000000000000001E-4</c:v>
                </c:pt>
                <c:pt idx="304">
                  <c:v>1.6299999999999999E-2</c:v>
                </c:pt>
                <c:pt idx="305">
                  <c:v>-6.6E-3</c:v>
                </c:pt>
                <c:pt idx="306">
                  <c:v>-1.6000000000000001E-3</c:v>
                </c:pt>
                <c:pt idx="307">
                  <c:v>-5.7999999999999996E-3</c:v>
                </c:pt>
                <c:pt idx="308">
                  <c:v>4.5199999999999997E-2</c:v>
                </c:pt>
                <c:pt idx="309">
                  <c:v>8.8000000000000005E-3</c:v>
                </c:pt>
                <c:pt idx="310">
                  <c:v>-1.14E-2</c:v>
                </c:pt>
                <c:pt idx="311">
                  <c:v>3.3999999999999998E-3</c:v>
                </c:pt>
                <c:pt idx="312">
                  <c:v>2.0199999999999999E-2</c:v>
                </c:pt>
                <c:pt idx="313">
                  <c:v>1.14E-2</c:v>
                </c:pt>
                <c:pt idx="314">
                  <c:v>1.3899999999999999E-2</c:v>
                </c:pt>
                <c:pt idx="315">
                  <c:v>1.2800000000000001E-2</c:v>
                </c:pt>
                <c:pt idx="316">
                  <c:v>3.3999999999999998E-3</c:v>
                </c:pt>
                <c:pt idx="317">
                  <c:v>5.4999999999999997E-3</c:v>
                </c:pt>
                <c:pt idx="318">
                  <c:v>2.98E-2</c:v>
                </c:pt>
                <c:pt idx="319">
                  <c:v>8.6E-3</c:v>
                </c:pt>
                <c:pt idx="320">
                  <c:v>-6.4000000000000003E-3</c:v>
                </c:pt>
                <c:pt idx="321">
                  <c:v>1.2200000000000001E-2</c:v>
                </c:pt>
                <c:pt idx="322">
                  <c:v>4.07E-2</c:v>
                </c:pt>
                <c:pt idx="323">
                  <c:v>2.0999999999999999E-3</c:v>
                </c:pt>
                <c:pt idx="324">
                  <c:v>2.2700000000000001E-2</c:v>
                </c:pt>
                <c:pt idx="325">
                  <c:v>-7.9600000000000004E-2</c:v>
                </c:pt>
                <c:pt idx="326">
                  <c:v>-9.4000000000000004E-3</c:v>
                </c:pt>
                <c:pt idx="327">
                  <c:v>3.7600000000000001E-2</c:v>
                </c:pt>
                <c:pt idx="328">
                  <c:v>3.8600000000000002E-2</c:v>
                </c:pt>
                <c:pt idx="329">
                  <c:v>1.2E-2</c:v>
                </c:pt>
                <c:pt idx="330">
                  <c:v>1.41E-2</c:v>
                </c:pt>
                <c:pt idx="331">
                  <c:v>3.0599999999999999E-2</c:v>
                </c:pt>
                <c:pt idx="332">
                  <c:v>-1E-3</c:v>
                </c:pt>
                <c:pt idx="333">
                  <c:v>1.6E-2</c:v>
                </c:pt>
                <c:pt idx="334">
                  <c:v>6.4000000000000003E-3</c:v>
                </c:pt>
                <c:pt idx="335">
                  <c:v>-4.0000000000000001E-3</c:v>
                </c:pt>
                <c:pt idx="336">
                  <c:v>-1.8200000000000001E-2</c:v>
                </c:pt>
                <c:pt idx="337">
                  <c:v>4.1599999999999998E-2</c:v>
                </c:pt>
                <c:pt idx="338">
                  <c:v>2.1899999999999999E-2</c:v>
                </c:pt>
                <c:pt idx="339">
                  <c:v>2.1899999999999999E-2</c:v>
                </c:pt>
                <c:pt idx="340">
                  <c:v>1.29E-2</c:v>
                </c:pt>
                <c:pt idx="341">
                  <c:v>-8.5000000000000006E-3</c:v>
                </c:pt>
                <c:pt idx="342">
                  <c:v>-4.4000000000000003E-3</c:v>
                </c:pt>
                <c:pt idx="343">
                  <c:v>5.62E-2</c:v>
                </c:pt>
                <c:pt idx="344">
                  <c:v>2.7099999999999999E-2</c:v>
                </c:pt>
                <c:pt idx="345">
                  <c:v>-1.0500000000000001E-2</c:v>
                </c:pt>
                <c:pt idx="346">
                  <c:v>-3.9100000000000003E-2</c:v>
                </c:pt>
                <c:pt idx="347">
                  <c:v>6.9999999999999999E-4</c:v>
                </c:pt>
                <c:pt idx="348">
                  <c:v>1.9599999999999999E-2</c:v>
                </c:pt>
                <c:pt idx="349">
                  <c:v>-1.5599999999999999E-2</c:v>
                </c:pt>
                <c:pt idx="350">
                  <c:v>6.9999999999999999E-4</c:v>
                </c:pt>
                <c:pt idx="351">
                  <c:v>2.2100000000000002E-2</c:v>
                </c:pt>
                <c:pt idx="352">
                  <c:v>1.61E-2</c:v>
                </c:pt>
                <c:pt idx="353">
                  <c:v>-5.8099999999999999E-2</c:v>
                </c:pt>
                <c:pt idx="354">
                  <c:v>1.2E-2</c:v>
                </c:pt>
                <c:pt idx="355">
                  <c:v>-8.0999999999999996E-3</c:v>
                </c:pt>
                <c:pt idx="356">
                  <c:v>-4.1999999999999997E-3</c:v>
                </c:pt>
                <c:pt idx="357">
                  <c:v>3.6499999999999998E-2</c:v>
                </c:pt>
                <c:pt idx="358">
                  <c:v>1.1000000000000001E-3</c:v>
                </c:pt>
                <c:pt idx="359">
                  <c:v>1.04E-2</c:v>
                </c:pt>
                <c:pt idx="360">
                  <c:v>1.04E-2</c:v>
                </c:pt>
                <c:pt idx="361">
                  <c:v>-2.9999999999999997E-4</c:v>
                </c:pt>
                <c:pt idx="362">
                  <c:v>3.8999999999999998E-3</c:v>
                </c:pt>
                <c:pt idx="363">
                  <c:v>7.0000000000000001E-3</c:v>
                </c:pt>
              </c:numCache>
            </c:numRef>
          </c:xVal>
          <c:yVal>
            <c:numRef>
              <c:f>'Kri-Kri Milk Stock Price Histor'!$C$2:$C$365</c:f>
              <c:numCache>
                <c:formatCode>0.00%</c:formatCode>
                <c:ptCount val="364"/>
                <c:pt idx="0">
                  <c:v>-2.5399999999999999E-2</c:v>
                </c:pt>
                <c:pt idx="1">
                  <c:v>2.23E-2</c:v>
                </c:pt>
                <c:pt idx="2">
                  <c:v>2.9100000000000001E-2</c:v>
                </c:pt>
                <c:pt idx="3">
                  <c:v>-4.24E-2</c:v>
                </c:pt>
                <c:pt idx="4">
                  <c:v>7.4000000000000003E-3</c:v>
                </c:pt>
                <c:pt idx="5">
                  <c:v>2.1999999999999999E-2</c:v>
                </c:pt>
                <c:pt idx="6">
                  <c:v>-2.87E-2</c:v>
                </c:pt>
                <c:pt idx="7">
                  <c:v>-0.1439</c:v>
                </c:pt>
                <c:pt idx="8">
                  <c:v>-3.4500000000000003E-2</c:v>
                </c:pt>
                <c:pt idx="9">
                  <c:v>-0.1406</c:v>
                </c:pt>
                <c:pt idx="10">
                  <c:v>0.18179999999999999</c:v>
                </c:pt>
                <c:pt idx="11">
                  <c:v>-4.3999999999999997E-2</c:v>
                </c:pt>
                <c:pt idx="12">
                  <c:v>-1.15E-2</c:v>
                </c:pt>
                <c:pt idx="13">
                  <c:v>6.9800000000000001E-2</c:v>
                </c:pt>
                <c:pt idx="14">
                  <c:v>1.09E-2</c:v>
                </c:pt>
                <c:pt idx="15">
                  <c:v>2.58E-2</c:v>
                </c:pt>
                <c:pt idx="16">
                  <c:v>1.89E-2</c:v>
                </c:pt>
                <c:pt idx="17">
                  <c:v>2.47E-2</c:v>
                </c:pt>
                <c:pt idx="18">
                  <c:v>-1.61E-2</c:v>
                </c:pt>
                <c:pt idx="19">
                  <c:v>3.27E-2</c:v>
                </c:pt>
                <c:pt idx="20">
                  <c:v>5.5300000000000002E-2</c:v>
                </c:pt>
                <c:pt idx="21">
                  <c:v>0.1236</c:v>
                </c:pt>
                <c:pt idx="22">
                  <c:v>-8.6699999999999999E-2</c:v>
                </c:pt>
                <c:pt idx="23">
                  <c:v>-1.46E-2</c:v>
                </c:pt>
                <c:pt idx="24">
                  <c:v>5.9299999999999999E-2</c:v>
                </c:pt>
                <c:pt idx="25">
                  <c:v>1.7500000000000002E-2</c:v>
                </c:pt>
                <c:pt idx="26">
                  <c:v>1.37E-2</c:v>
                </c:pt>
                <c:pt idx="27">
                  <c:v>6.7999999999999996E-3</c:v>
                </c:pt>
                <c:pt idx="28">
                  <c:v>-2.0199999999999999E-2</c:v>
                </c:pt>
                <c:pt idx="29">
                  <c:v>-1.37E-2</c:v>
                </c:pt>
                <c:pt idx="30">
                  <c:v>8.7099999999999997E-2</c:v>
                </c:pt>
                <c:pt idx="31">
                  <c:v>-5.45E-2</c:v>
                </c:pt>
                <c:pt idx="32">
                  <c:v>0</c:v>
                </c:pt>
                <c:pt idx="33">
                  <c:v>6.7999999999999996E-3</c:v>
                </c:pt>
                <c:pt idx="34">
                  <c:v>6.7000000000000002E-3</c:v>
                </c:pt>
                <c:pt idx="35">
                  <c:v>-3.0099999999999998E-2</c:v>
                </c:pt>
                <c:pt idx="36">
                  <c:v>4.48E-2</c:v>
                </c:pt>
                <c:pt idx="37">
                  <c:v>-6.6E-3</c:v>
                </c:pt>
                <c:pt idx="38">
                  <c:v>2.3300000000000001E-2</c:v>
                </c:pt>
                <c:pt idx="39">
                  <c:v>6.4899999999999999E-2</c:v>
                </c:pt>
                <c:pt idx="40">
                  <c:v>-3.9600000000000003E-2</c:v>
                </c:pt>
                <c:pt idx="41">
                  <c:v>6.3E-3</c:v>
                </c:pt>
                <c:pt idx="42">
                  <c:v>-2.52E-2</c:v>
                </c:pt>
                <c:pt idx="43">
                  <c:v>1.29E-2</c:v>
                </c:pt>
                <c:pt idx="44">
                  <c:v>6.4000000000000003E-3</c:v>
                </c:pt>
                <c:pt idx="45">
                  <c:v>1.9E-2</c:v>
                </c:pt>
                <c:pt idx="46">
                  <c:v>0</c:v>
                </c:pt>
                <c:pt idx="47">
                  <c:v>-3.0999999999999999E-3</c:v>
                </c:pt>
                <c:pt idx="48">
                  <c:v>0</c:v>
                </c:pt>
                <c:pt idx="49">
                  <c:v>4.0599999999999997E-2</c:v>
                </c:pt>
                <c:pt idx="50">
                  <c:v>-3.3000000000000002E-2</c:v>
                </c:pt>
                <c:pt idx="51">
                  <c:v>1.55E-2</c:v>
                </c:pt>
                <c:pt idx="52">
                  <c:v>9.1999999999999998E-3</c:v>
                </c:pt>
                <c:pt idx="53">
                  <c:v>0</c:v>
                </c:pt>
                <c:pt idx="54">
                  <c:v>3.0000000000000001E-3</c:v>
                </c:pt>
                <c:pt idx="55">
                  <c:v>6.0000000000000001E-3</c:v>
                </c:pt>
                <c:pt idx="56">
                  <c:v>4.2000000000000003E-2</c:v>
                </c:pt>
                <c:pt idx="57">
                  <c:v>2.3099999999999999E-2</c:v>
                </c:pt>
                <c:pt idx="58">
                  <c:v>-1.41E-2</c:v>
                </c:pt>
                <c:pt idx="59">
                  <c:v>0.04</c:v>
                </c:pt>
                <c:pt idx="60">
                  <c:v>-2.7000000000000001E-3</c:v>
                </c:pt>
                <c:pt idx="61">
                  <c:v>0</c:v>
                </c:pt>
                <c:pt idx="62">
                  <c:v>1.9300000000000001E-2</c:v>
                </c:pt>
                <c:pt idx="63">
                  <c:v>8.0999999999999996E-3</c:v>
                </c:pt>
                <c:pt idx="64">
                  <c:v>3.2199999999999999E-2</c:v>
                </c:pt>
                <c:pt idx="65">
                  <c:v>7.7999999999999996E-3</c:v>
                </c:pt>
                <c:pt idx="66">
                  <c:v>-2.06E-2</c:v>
                </c:pt>
                <c:pt idx="67">
                  <c:v>-1.32E-2</c:v>
                </c:pt>
                <c:pt idx="68">
                  <c:v>2.93E-2</c:v>
                </c:pt>
                <c:pt idx="69">
                  <c:v>-1.55E-2</c:v>
                </c:pt>
                <c:pt idx="70">
                  <c:v>-1.84E-2</c:v>
                </c:pt>
                <c:pt idx="71">
                  <c:v>-2.7000000000000001E-3</c:v>
                </c:pt>
                <c:pt idx="72">
                  <c:v>2.69E-2</c:v>
                </c:pt>
                <c:pt idx="73">
                  <c:v>1.3100000000000001E-2</c:v>
                </c:pt>
                <c:pt idx="74">
                  <c:v>2.07E-2</c:v>
                </c:pt>
                <c:pt idx="75">
                  <c:v>1.77E-2</c:v>
                </c:pt>
                <c:pt idx="76">
                  <c:v>5.7200000000000001E-2</c:v>
                </c:pt>
                <c:pt idx="77">
                  <c:v>3.5299999999999998E-2</c:v>
                </c:pt>
                <c:pt idx="78">
                  <c:v>-1.8200000000000001E-2</c:v>
                </c:pt>
                <c:pt idx="79">
                  <c:v>-4.5999999999999999E-3</c:v>
                </c:pt>
                <c:pt idx="80">
                  <c:v>7.0000000000000001E-3</c:v>
                </c:pt>
                <c:pt idx="81">
                  <c:v>1.6199999999999999E-2</c:v>
                </c:pt>
                <c:pt idx="82">
                  <c:v>-6.7999999999999996E-3</c:v>
                </c:pt>
                <c:pt idx="83">
                  <c:v>-3.4299999999999997E-2</c:v>
                </c:pt>
                <c:pt idx="84">
                  <c:v>7.1000000000000004E-3</c:v>
                </c:pt>
                <c:pt idx="85">
                  <c:v>0</c:v>
                </c:pt>
                <c:pt idx="86">
                  <c:v>2.3999999999999998E-3</c:v>
                </c:pt>
                <c:pt idx="87">
                  <c:v>-3.7600000000000001E-2</c:v>
                </c:pt>
                <c:pt idx="88">
                  <c:v>2.1999999999999999E-2</c:v>
                </c:pt>
                <c:pt idx="89">
                  <c:v>-8.8300000000000003E-2</c:v>
                </c:pt>
                <c:pt idx="90">
                  <c:v>-1.0500000000000001E-2</c:v>
                </c:pt>
                <c:pt idx="91">
                  <c:v>1.8499999999999999E-2</c:v>
                </c:pt>
                <c:pt idx="92">
                  <c:v>3.3799999999999997E-2</c:v>
                </c:pt>
                <c:pt idx="93">
                  <c:v>4.2700000000000002E-2</c:v>
                </c:pt>
                <c:pt idx="94">
                  <c:v>-3.8600000000000002E-2</c:v>
                </c:pt>
                <c:pt idx="95">
                  <c:v>-2.5000000000000001E-3</c:v>
                </c:pt>
                <c:pt idx="96">
                  <c:v>4.02E-2</c:v>
                </c:pt>
                <c:pt idx="97">
                  <c:v>-2.3999999999999998E-3</c:v>
                </c:pt>
                <c:pt idx="98">
                  <c:v>-2.4199999999999999E-2</c:v>
                </c:pt>
                <c:pt idx="99">
                  <c:v>2.98E-2</c:v>
                </c:pt>
                <c:pt idx="100">
                  <c:v>-2.41E-2</c:v>
                </c:pt>
                <c:pt idx="101">
                  <c:v>-4.8999999999999998E-3</c:v>
                </c:pt>
                <c:pt idx="102">
                  <c:v>5.4600000000000003E-2</c:v>
                </c:pt>
                <c:pt idx="103">
                  <c:v>0</c:v>
                </c:pt>
                <c:pt idx="104">
                  <c:v>-9.4000000000000004E-3</c:v>
                </c:pt>
                <c:pt idx="105">
                  <c:v>4.7999999999999996E-3</c:v>
                </c:pt>
                <c:pt idx="106">
                  <c:v>-2.8400000000000002E-2</c:v>
                </c:pt>
                <c:pt idx="107">
                  <c:v>9.7000000000000003E-3</c:v>
                </c:pt>
                <c:pt idx="108">
                  <c:v>9.5999999999999992E-3</c:v>
                </c:pt>
                <c:pt idx="109">
                  <c:v>-2.1499999999999998E-2</c:v>
                </c:pt>
                <c:pt idx="110">
                  <c:v>-2.6800000000000001E-2</c:v>
                </c:pt>
                <c:pt idx="111">
                  <c:v>-4.7600000000000003E-2</c:v>
                </c:pt>
                <c:pt idx="112">
                  <c:v>-1.32E-2</c:v>
                </c:pt>
                <c:pt idx="113">
                  <c:v>-1.6E-2</c:v>
                </c:pt>
                <c:pt idx="114">
                  <c:v>1.3599999999999999E-2</c:v>
                </c:pt>
                <c:pt idx="115">
                  <c:v>-4.2799999999999998E-2</c:v>
                </c:pt>
                <c:pt idx="116">
                  <c:v>4.7500000000000001E-2</c:v>
                </c:pt>
                <c:pt idx="117">
                  <c:v>-3.73E-2</c:v>
                </c:pt>
                <c:pt idx="118">
                  <c:v>4.4299999999999999E-2</c:v>
                </c:pt>
                <c:pt idx="119">
                  <c:v>-3.4500000000000003E-2</c:v>
                </c:pt>
                <c:pt idx="120">
                  <c:v>-3.85E-2</c:v>
                </c:pt>
                <c:pt idx="121">
                  <c:v>-7.1400000000000005E-2</c:v>
                </c:pt>
                <c:pt idx="122">
                  <c:v>-6.1999999999999998E-3</c:v>
                </c:pt>
                <c:pt idx="123">
                  <c:v>-9.2999999999999992E-3</c:v>
                </c:pt>
                <c:pt idx="124">
                  <c:v>6.1999999999999998E-3</c:v>
                </c:pt>
                <c:pt idx="125">
                  <c:v>-6.83E-2</c:v>
                </c:pt>
                <c:pt idx="126">
                  <c:v>-6.7000000000000002E-3</c:v>
                </c:pt>
                <c:pt idx="127">
                  <c:v>-4.0300000000000002E-2</c:v>
                </c:pt>
                <c:pt idx="128">
                  <c:v>-1.0500000000000001E-2</c:v>
                </c:pt>
                <c:pt idx="129">
                  <c:v>-2.8299999999999999E-2</c:v>
                </c:pt>
                <c:pt idx="130">
                  <c:v>1.8200000000000001E-2</c:v>
                </c:pt>
                <c:pt idx="131">
                  <c:v>4.2900000000000001E-2</c:v>
                </c:pt>
                <c:pt idx="132">
                  <c:v>1.03E-2</c:v>
                </c:pt>
                <c:pt idx="133">
                  <c:v>-3.39E-2</c:v>
                </c:pt>
                <c:pt idx="134">
                  <c:v>4.9099999999999998E-2</c:v>
                </c:pt>
                <c:pt idx="135">
                  <c:v>-3.3E-3</c:v>
                </c:pt>
                <c:pt idx="136">
                  <c:v>1.6799999999999999E-2</c:v>
                </c:pt>
                <c:pt idx="137">
                  <c:v>-2.3099999999999999E-2</c:v>
                </c:pt>
                <c:pt idx="138">
                  <c:v>-3.7199999999999997E-2</c:v>
                </c:pt>
                <c:pt idx="139">
                  <c:v>-6.6699999999999995E-2</c:v>
                </c:pt>
                <c:pt idx="140">
                  <c:v>7.4999999999999997E-3</c:v>
                </c:pt>
                <c:pt idx="141">
                  <c:v>-5.2200000000000003E-2</c:v>
                </c:pt>
                <c:pt idx="142">
                  <c:v>-3.8999999999999998E-3</c:v>
                </c:pt>
                <c:pt idx="143">
                  <c:v>8.6999999999999994E-2</c:v>
                </c:pt>
                <c:pt idx="144">
                  <c:v>-1.4500000000000001E-2</c:v>
                </c:pt>
                <c:pt idx="145">
                  <c:v>-1.11E-2</c:v>
                </c:pt>
                <c:pt idx="146">
                  <c:v>1.12E-2</c:v>
                </c:pt>
                <c:pt idx="147">
                  <c:v>-3.7000000000000002E-3</c:v>
                </c:pt>
                <c:pt idx="148">
                  <c:v>6.6699999999999995E-2</c:v>
                </c:pt>
                <c:pt idx="149">
                  <c:v>-1.04E-2</c:v>
                </c:pt>
                <c:pt idx="150">
                  <c:v>8.0699999999999994E-2</c:v>
                </c:pt>
                <c:pt idx="151">
                  <c:v>-4.5499999999999999E-2</c:v>
                </c:pt>
                <c:pt idx="152">
                  <c:v>2.0400000000000001E-2</c:v>
                </c:pt>
                <c:pt idx="153">
                  <c:v>0.06</c:v>
                </c:pt>
                <c:pt idx="154">
                  <c:v>-6.3E-3</c:v>
                </c:pt>
                <c:pt idx="155">
                  <c:v>-1.9E-2</c:v>
                </c:pt>
                <c:pt idx="156">
                  <c:v>4.5199999999999997E-2</c:v>
                </c:pt>
                <c:pt idx="157">
                  <c:v>3.0999999999999999E-3</c:v>
                </c:pt>
                <c:pt idx="158">
                  <c:v>-9.1999999999999998E-3</c:v>
                </c:pt>
                <c:pt idx="159">
                  <c:v>-4.9700000000000001E-2</c:v>
                </c:pt>
                <c:pt idx="160">
                  <c:v>1.3100000000000001E-2</c:v>
                </c:pt>
                <c:pt idx="161">
                  <c:v>-1.61E-2</c:v>
                </c:pt>
                <c:pt idx="162">
                  <c:v>1.9699999999999999E-2</c:v>
                </c:pt>
                <c:pt idx="163">
                  <c:v>1.9300000000000001E-2</c:v>
                </c:pt>
                <c:pt idx="164">
                  <c:v>6.3E-3</c:v>
                </c:pt>
                <c:pt idx="165">
                  <c:v>3.1300000000000001E-2</c:v>
                </c:pt>
                <c:pt idx="166">
                  <c:v>-7.2900000000000006E-2</c:v>
                </c:pt>
                <c:pt idx="167">
                  <c:v>4.9200000000000001E-2</c:v>
                </c:pt>
                <c:pt idx="168">
                  <c:v>-9.4000000000000004E-3</c:v>
                </c:pt>
                <c:pt idx="169">
                  <c:v>-3.2000000000000002E-3</c:v>
                </c:pt>
                <c:pt idx="170">
                  <c:v>2.8500000000000001E-2</c:v>
                </c:pt>
                <c:pt idx="171">
                  <c:v>-6.1999999999999998E-3</c:v>
                </c:pt>
                <c:pt idx="172">
                  <c:v>2.1700000000000001E-2</c:v>
                </c:pt>
                <c:pt idx="173">
                  <c:v>4.8500000000000001E-2</c:v>
                </c:pt>
                <c:pt idx="174">
                  <c:v>2.5999999999999999E-2</c:v>
                </c:pt>
                <c:pt idx="175">
                  <c:v>1.1299999999999999E-2</c:v>
                </c:pt>
                <c:pt idx="176">
                  <c:v>0.13650000000000001</c:v>
                </c:pt>
                <c:pt idx="177">
                  <c:v>-1.9599999999999999E-2</c:v>
                </c:pt>
                <c:pt idx="178">
                  <c:v>7.4999999999999997E-3</c:v>
                </c:pt>
                <c:pt idx="179">
                  <c:v>-1.24E-2</c:v>
                </c:pt>
                <c:pt idx="180">
                  <c:v>-2.5000000000000001E-3</c:v>
                </c:pt>
                <c:pt idx="181">
                  <c:v>2.5000000000000001E-3</c:v>
                </c:pt>
                <c:pt idx="182">
                  <c:v>2.5000000000000001E-3</c:v>
                </c:pt>
                <c:pt idx="183">
                  <c:v>3.0099999999999998E-2</c:v>
                </c:pt>
                <c:pt idx="184">
                  <c:v>1.7000000000000001E-2</c:v>
                </c:pt>
                <c:pt idx="185">
                  <c:v>2.87E-2</c:v>
                </c:pt>
                <c:pt idx="186">
                  <c:v>0</c:v>
                </c:pt>
                <c:pt idx="187">
                  <c:v>-3.0200000000000001E-2</c:v>
                </c:pt>
                <c:pt idx="188">
                  <c:v>-1.6799999999999999E-2</c:v>
                </c:pt>
                <c:pt idx="189">
                  <c:v>2.4400000000000002E-2</c:v>
                </c:pt>
                <c:pt idx="190">
                  <c:v>-1.67E-2</c:v>
                </c:pt>
                <c:pt idx="191">
                  <c:v>-4.5999999999999999E-2</c:v>
                </c:pt>
                <c:pt idx="192">
                  <c:v>-1.0200000000000001E-2</c:v>
                </c:pt>
                <c:pt idx="193">
                  <c:v>2.5999999999999999E-3</c:v>
                </c:pt>
                <c:pt idx="194">
                  <c:v>6.3899999999999998E-2</c:v>
                </c:pt>
                <c:pt idx="195">
                  <c:v>-1.44E-2</c:v>
                </c:pt>
                <c:pt idx="196">
                  <c:v>-3.4099999999999998E-2</c:v>
                </c:pt>
                <c:pt idx="197">
                  <c:v>2.2700000000000001E-2</c:v>
                </c:pt>
                <c:pt idx="198">
                  <c:v>-2.5000000000000001E-3</c:v>
                </c:pt>
                <c:pt idx="199">
                  <c:v>5.0000000000000001E-3</c:v>
                </c:pt>
                <c:pt idx="200">
                  <c:v>5.4199999999999998E-2</c:v>
                </c:pt>
                <c:pt idx="201">
                  <c:v>-7.0000000000000001E-3</c:v>
                </c:pt>
                <c:pt idx="202">
                  <c:v>5.6500000000000002E-2</c:v>
                </c:pt>
                <c:pt idx="203">
                  <c:v>5.1200000000000002E-2</c:v>
                </c:pt>
                <c:pt idx="204">
                  <c:v>-2.0999999999999999E-3</c:v>
                </c:pt>
                <c:pt idx="205">
                  <c:v>8.5000000000000006E-3</c:v>
                </c:pt>
                <c:pt idx="206">
                  <c:v>4.1999999999999997E-3</c:v>
                </c:pt>
                <c:pt idx="207">
                  <c:v>4.1999999999999997E-3</c:v>
                </c:pt>
                <c:pt idx="208">
                  <c:v>2.3E-2</c:v>
                </c:pt>
                <c:pt idx="209">
                  <c:v>8.2000000000000007E-3</c:v>
                </c:pt>
                <c:pt idx="210">
                  <c:v>4.0000000000000001E-3</c:v>
                </c:pt>
                <c:pt idx="211">
                  <c:v>-4.0000000000000001E-3</c:v>
                </c:pt>
                <c:pt idx="212">
                  <c:v>2E-3</c:v>
                </c:pt>
                <c:pt idx="213">
                  <c:v>0</c:v>
                </c:pt>
                <c:pt idx="214">
                  <c:v>0</c:v>
                </c:pt>
                <c:pt idx="215">
                  <c:v>6.5699999999999995E-2</c:v>
                </c:pt>
                <c:pt idx="216">
                  <c:v>2.8400000000000002E-2</c:v>
                </c:pt>
                <c:pt idx="217">
                  <c:v>9.1999999999999998E-3</c:v>
                </c:pt>
                <c:pt idx="218">
                  <c:v>9.5899999999999999E-2</c:v>
                </c:pt>
                <c:pt idx="219">
                  <c:v>-1.67E-2</c:v>
                </c:pt>
                <c:pt idx="220">
                  <c:v>-8.5000000000000006E-3</c:v>
                </c:pt>
                <c:pt idx="221">
                  <c:v>-6.8400000000000002E-2</c:v>
                </c:pt>
                <c:pt idx="222">
                  <c:v>3.6700000000000003E-2</c:v>
                </c:pt>
                <c:pt idx="223">
                  <c:v>-8.8000000000000005E-3</c:v>
                </c:pt>
                <c:pt idx="224">
                  <c:v>-2.23E-2</c:v>
                </c:pt>
                <c:pt idx="225">
                  <c:v>-3.2000000000000001E-2</c:v>
                </c:pt>
                <c:pt idx="226">
                  <c:v>4.7000000000000002E-3</c:v>
                </c:pt>
                <c:pt idx="227">
                  <c:v>3.2899999999999999E-2</c:v>
                </c:pt>
                <c:pt idx="228">
                  <c:v>2.7300000000000001E-2</c:v>
                </c:pt>
                <c:pt idx="229">
                  <c:v>-1.3299999999999999E-2</c:v>
                </c:pt>
                <c:pt idx="230">
                  <c:v>-1.35E-2</c:v>
                </c:pt>
                <c:pt idx="231">
                  <c:v>-4.5499999999999999E-2</c:v>
                </c:pt>
                <c:pt idx="232">
                  <c:v>1.43E-2</c:v>
                </c:pt>
                <c:pt idx="233">
                  <c:v>6.5699999999999995E-2</c:v>
                </c:pt>
                <c:pt idx="234">
                  <c:v>2.1999999999999999E-2</c:v>
                </c:pt>
                <c:pt idx="235">
                  <c:v>-8.6E-3</c:v>
                </c:pt>
                <c:pt idx="236">
                  <c:v>-8.6999999999999994E-3</c:v>
                </c:pt>
                <c:pt idx="237">
                  <c:v>1.32E-2</c:v>
                </c:pt>
                <c:pt idx="238">
                  <c:v>-4.3299999999999998E-2</c:v>
                </c:pt>
                <c:pt idx="239">
                  <c:v>3.1699999999999999E-2</c:v>
                </c:pt>
                <c:pt idx="240">
                  <c:v>5.2600000000000001E-2</c:v>
                </c:pt>
                <c:pt idx="241">
                  <c:v>2.5000000000000001E-2</c:v>
                </c:pt>
                <c:pt idx="242">
                  <c:v>-8.0999999999999996E-3</c:v>
                </c:pt>
                <c:pt idx="243">
                  <c:v>1.23E-2</c:v>
                </c:pt>
                <c:pt idx="244">
                  <c:v>4.0000000000000001E-3</c:v>
                </c:pt>
                <c:pt idx="245">
                  <c:v>5.6500000000000002E-2</c:v>
                </c:pt>
                <c:pt idx="246">
                  <c:v>2.6700000000000002E-2</c:v>
                </c:pt>
                <c:pt idx="247">
                  <c:v>-2.5999999999999999E-2</c:v>
                </c:pt>
                <c:pt idx="248">
                  <c:v>7.6E-3</c:v>
                </c:pt>
                <c:pt idx="249">
                  <c:v>-3.8E-3</c:v>
                </c:pt>
                <c:pt idx="250">
                  <c:v>6.08E-2</c:v>
                </c:pt>
                <c:pt idx="251">
                  <c:v>-2.5100000000000001E-2</c:v>
                </c:pt>
                <c:pt idx="252">
                  <c:v>3.6799999999999999E-2</c:v>
                </c:pt>
                <c:pt idx="253">
                  <c:v>2.1299999999999999E-2</c:v>
                </c:pt>
                <c:pt idx="254">
                  <c:v>-6.8999999999999999E-3</c:v>
                </c:pt>
                <c:pt idx="255">
                  <c:v>0</c:v>
                </c:pt>
                <c:pt idx="256">
                  <c:v>6.6400000000000001E-2</c:v>
                </c:pt>
                <c:pt idx="257">
                  <c:v>-3.3E-3</c:v>
                </c:pt>
                <c:pt idx="258">
                  <c:v>9.9000000000000008E-3</c:v>
                </c:pt>
                <c:pt idx="259">
                  <c:v>-2.2800000000000001E-2</c:v>
                </c:pt>
                <c:pt idx="260">
                  <c:v>3.6700000000000003E-2</c:v>
                </c:pt>
                <c:pt idx="261">
                  <c:v>8.2000000000000007E-3</c:v>
                </c:pt>
                <c:pt idx="262">
                  <c:v>4.0000000000000001E-3</c:v>
                </c:pt>
                <c:pt idx="263">
                  <c:v>-4.0000000000000001E-3</c:v>
                </c:pt>
                <c:pt idx="264">
                  <c:v>2E-3</c:v>
                </c:pt>
                <c:pt idx="265">
                  <c:v>0</c:v>
                </c:pt>
                <c:pt idx="266">
                  <c:v>0</c:v>
                </c:pt>
                <c:pt idx="267">
                  <c:v>6.5699999999999995E-2</c:v>
                </c:pt>
                <c:pt idx="268">
                  <c:v>2.8400000000000002E-2</c:v>
                </c:pt>
                <c:pt idx="269">
                  <c:v>9.1999999999999998E-3</c:v>
                </c:pt>
                <c:pt idx="270">
                  <c:v>9.5899999999999999E-2</c:v>
                </c:pt>
                <c:pt idx="271">
                  <c:v>-1.67E-2</c:v>
                </c:pt>
                <c:pt idx="272">
                  <c:v>-8.5000000000000006E-3</c:v>
                </c:pt>
                <c:pt idx="273">
                  <c:v>-6.8400000000000002E-2</c:v>
                </c:pt>
                <c:pt idx="274">
                  <c:v>3.6700000000000003E-2</c:v>
                </c:pt>
                <c:pt idx="275">
                  <c:v>-8.8000000000000005E-3</c:v>
                </c:pt>
                <c:pt idx="276">
                  <c:v>-2.23E-2</c:v>
                </c:pt>
                <c:pt idx="277">
                  <c:v>-3.2000000000000001E-2</c:v>
                </c:pt>
                <c:pt idx="278">
                  <c:v>4.7000000000000002E-3</c:v>
                </c:pt>
                <c:pt idx="279">
                  <c:v>3.2899999999999999E-2</c:v>
                </c:pt>
                <c:pt idx="280">
                  <c:v>2.7300000000000001E-2</c:v>
                </c:pt>
                <c:pt idx="281">
                  <c:v>-1.3299999999999999E-2</c:v>
                </c:pt>
                <c:pt idx="282">
                  <c:v>-1.35E-2</c:v>
                </c:pt>
                <c:pt idx="283">
                  <c:v>-4.5499999999999999E-2</c:v>
                </c:pt>
                <c:pt idx="284">
                  <c:v>1.43E-2</c:v>
                </c:pt>
                <c:pt idx="285">
                  <c:v>6.5699999999999995E-2</c:v>
                </c:pt>
                <c:pt idx="286">
                  <c:v>2.1999999999999999E-2</c:v>
                </c:pt>
                <c:pt idx="287">
                  <c:v>-8.6E-3</c:v>
                </c:pt>
                <c:pt idx="288">
                  <c:v>-8.6999999999999994E-3</c:v>
                </c:pt>
                <c:pt idx="289">
                  <c:v>1.32E-2</c:v>
                </c:pt>
                <c:pt idx="290">
                  <c:v>-4.3299999999999998E-2</c:v>
                </c:pt>
                <c:pt idx="291">
                  <c:v>3.1699999999999999E-2</c:v>
                </c:pt>
                <c:pt idx="292">
                  <c:v>5.2600000000000001E-2</c:v>
                </c:pt>
                <c:pt idx="293">
                  <c:v>2.5000000000000001E-2</c:v>
                </c:pt>
                <c:pt idx="294">
                  <c:v>-8.0999999999999996E-3</c:v>
                </c:pt>
                <c:pt idx="295">
                  <c:v>1.23E-2</c:v>
                </c:pt>
                <c:pt idx="296">
                  <c:v>4.0000000000000001E-3</c:v>
                </c:pt>
                <c:pt idx="297">
                  <c:v>5.6500000000000002E-2</c:v>
                </c:pt>
                <c:pt idx="298">
                  <c:v>2.6700000000000002E-2</c:v>
                </c:pt>
                <c:pt idx="299">
                  <c:v>-2.5999999999999999E-2</c:v>
                </c:pt>
                <c:pt idx="300">
                  <c:v>7.6E-3</c:v>
                </c:pt>
                <c:pt idx="301">
                  <c:v>-3.8E-3</c:v>
                </c:pt>
                <c:pt idx="302">
                  <c:v>6.08E-2</c:v>
                </c:pt>
                <c:pt idx="303">
                  <c:v>-2.5100000000000001E-2</c:v>
                </c:pt>
                <c:pt idx="304">
                  <c:v>3.6799999999999999E-2</c:v>
                </c:pt>
                <c:pt idx="305">
                  <c:v>2.1299999999999999E-2</c:v>
                </c:pt>
                <c:pt idx="306">
                  <c:v>-6.8999999999999999E-3</c:v>
                </c:pt>
                <c:pt idx="307">
                  <c:v>0</c:v>
                </c:pt>
                <c:pt idx="308">
                  <c:v>6.6400000000000001E-2</c:v>
                </c:pt>
                <c:pt idx="309">
                  <c:v>-3.3E-3</c:v>
                </c:pt>
                <c:pt idx="310">
                  <c:v>9.9000000000000008E-3</c:v>
                </c:pt>
                <c:pt idx="311">
                  <c:v>-2.2800000000000001E-2</c:v>
                </c:pt>
                <c:pt idx="312">
                  <c:v>3.6700000000000003E-2</c:v>
                </c:pt>
                <c:pt idx="313">
                  <c:v>1.61E-2</c:v>
                </c:pt>
                <c:pt idx="314">
                  <c:v>9.4999999999999998E-3</c:v>
                </c:pt>
                <c:pt idx="315">
                  <c:v>-1.5699999999999999E-2</c:v>
                </c:pt>
                <c:pt idx="316">
                  <c:v>2.23E-2</c:v>
                </c:pt>
                <c:pt idx="317">
                  <c:v>9.2999999999999992E-3</c:v>
                </c:pt>
                <c:pt idx="318">
                  <c:v>2.47E-2</c:v>
                </c:pt>
                <c:pt idx="319">
                  <c:v>-6.0000000000000001E-3</c:v>
                </c:pt>
                <c:pt idx="320">
                  <c:v>6.1000000000000004E-3</c:v>
                </c:pt>
                <c:pt idx="321">
                  <c:v>-6.6299999999999998E-2</c:v>
                </c:pt>
                <c:pt idx="322">
                  <c:v>3.5499999999999997E-2</c:v>
                </c:pt>
                <c:pt idx="323">
                  <c:v>-6.1999999999999998E-3</c:v>
                </c:pt>
                <c:pt idx="324">
                  <c:v>2.5100000000000001E-2</c:v>
                </c:pt>
                <c:pt idx="325">
                  <c:v>-5.5E-2</c:v>
                </c:pt>
                <c:pt idx="326">
                  <c:v>-2.52E-2</c:v>
                </c:pt>
                <c:pt idx="327">
                  <c:v>-1.06E-2</c:v>
                </c:pt>
                <c:pt idx="328">
                  <c:v>-1.61E-2</c:v>
                </c:pt>
                <c:pt idx="329">
                  <c:v>5.8700000000000002E-2</c:v>
                </c:pt>
                <c:pt idx="330">
                  <c:v>7.4700000000000003E-2</c:v>
                </c:pt>
                <c:pt idx="331">
                  <c:v>4.6800000000000001E-2</c:v>
                </c:pt>
                <c:pt idx="332">
                  <c:v>-9.1999999999999998E-3</c:v>
                </c:pt>
                <c:pt idx="333">
                  <c:v>4.5999999999999999E-3</c:v>
                </c:pt>
                <c:pt idx="334">
                  <c:v>-1.4999999999999999E-2</c:v>
                </c:pt>
                <c:pt idx="335">
                  <c:v>-1.29E-2</c:v>
                </c:pt>
                <c:pt idx="336">
                  <c:v>3.5499999999999997E-2</c:v>
                </c:pt>
                <c:pt idx="337">
                  <c:v>7.8899999999999998E-2</c:v>
                </c:pt>
                <c:pt idx="338">
                  <c:v>-4.1999999999999997E-3</c:v>
                </c:pt>
                <c:pt idx="339">
                  <c:v>-1.6E-2</c:v>
                </c:pt>
                <c:pt idx="340">
                  <c:v>-1.0800000000000001E-2</c:v>
                </c:pt>
                <c:pt idx="341">
                  <c:v>2.7300000000000001E-2</c:v>
                </c:pt>
                <c:pt idx="342">
                  <c:v>-1.06E-2</c:v>
                </c:pt>
                <c:pt idx="343">
                  <c:v>6.4999999999999997E-3</c:v>
                </c:pt>
                <c:pt idx="344">
                  <c:v>4.3799999999999999E-2</c:v>
                </c:pt>
                <c:pt idx="345">
                  <c:v>6.1899999999999997E-2</c:v>
                </c:pt>
                <c:pt idx="346">
                  <c:v>-6.9900000000000004E-2</c:v>
                </c:pt>
                <c:pt idx="347">
                  <c:v>0</c:v>
                </c:pt>
                <c:pt idx="348">
                  <c:v>-3.0099999999999998E-2</c:v>
                </c:pt>
                <c:pt idx="349">
                  <c:v>-5.7700000000000001E-2</c:v>
                </c:pt>
                <c:pt idx="350">
                  <c:v>-2.7199999999999998E-2</c:v>
                </c:pt>
                <c:pt idx="351">
                  <c:v>1.7500000000000002E-2</c:v>
                </c:pt>
                <c:pt idx="352">
                  <c:v>2.3E-3</c:v>
                </c:pt>
                <c:pt idx="353">
                  <c:v>0.04</c:v>
                </c:pt>
                <c:pt idx="354">
                  <c:v>4.6199999999999998E-2</c:v>
                </c:pt>
                <c:pt idx="355">
                  <c:v>3.4700000000000002E-2</c:v>
                </c:pt>
                <c:pt idx="356">
                  <c:v>-4.4699999999999997E-2</c:v>
                </c:pt>
                <c:pt idx="357">
                  <c:v>5.0999999999999997E-2</c:v>
                </c:pt>
                <c:pt idx="358">
                  <c:v>-5.16E-2</c:v>
                </c:pt>
                <c:pt idx="359">
                  <c:v>1.3899999999999999E-2</c:v>
                </c:pt>
                <c:pt idx="360">
                  <c:v>1.47E-2</c:v>
                </c:pt>
                <c:pt idx="361">
                  <c:v>2.07E-2</c:v>
                </c:pt>
                <c:pt idx="362">
                  <c:v>1.12E-2</c:v>
                </c:pt>
                <c:pt idx="363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59-4EA2-8172-B9BA4B39922E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Histor'!$E$2:$E$365</c:f>
              <c:numCache>
                <c:formatCode>0.00%</c:formatCode>
                <c:ptCount val="364"/>
                <c:pt idx="0">
                  <c:v>3.8E-3</c:v>
                </c:pt>
                <c:pt idx="1">
                  <c:v>1.15E-2</c:v>
                </c:pt>
                <c:pt idx="2">
                  <c:v>1.54E-2</c:v>
                </c:pt>
                <c:pt idx="3">
                  <c:v>-3.9800000000000002E-2</c:v>
                </c:pt>
                <c:pt idx="4">
                  <c:v>0</c:v>
                </c:pt>
                <c:pt idx="5">
                  <c:v>1.2500000000000001E-2</c:v>
                </c:pt>
                <c:pt idx="6">
                  <c:v>-3.1699999999999999E-2</c:v>
                </c:pt>
                <c:pt idx="7">
                  <c:v>-0.19339999999999999</c:v>
                </c:pt>
                <c:pt idx="8">
                  <c:v>-4.9399999999999999E-2</c:v>
                </c:pt>
                <c:pt idx="9">
                  <c:v>-0.19389999999999999</c:v>
                </c:pt>
                <c:pt idx="10">
                  <c:v>5.7000000000000002E-3</c:v>
                </c:pt>
                <c:pt idx="11">
                  <c:v>-7.7000000000000002E-3</c:v>
                </c:pt>
                <c:pt idx="12">
                  <c:v>-1.84E-2</c:v>
                </c:pt>
                <c:pt idx="13">
                  <c:v>0.1231</c:v>
                </c:pt>
                <c:pt idx="14">
                  <c:v>-8.9999999999999998E-4</c:v>
                </c:pt>
                <c:pt idx="15">
                  <c:v>-5.9999999999999995E-4</c:v>
                </c:pt>
                <c:pt idx="16">
                  <c:v>3.5999999999999997E-2</c:v>
                </c:pt>
                <c:pt idx="17">
                  <c:v>-3.85E-2</c:v>
                </c:pt>
                <c:pt idx="18">
                  <c:v>-1.7899999999999999E-2</c:v>
                </c:pt>
                <c:pt idx="19">
                  <c:v>2.69E-2</c:v>
                </c:pt>
                <c:pt idx="20">
                  <c:v>7.1199999999999999E-2</c:v>
                </c:pt>
                <c:pt idx="21">
                  <c:v>4.7300000000000002E-2</c:v>
                </c:pt>
                <c:pt idx="22">
                  <c:v>-5.3600000000000002E-2</c:v>
                </c:pt>
                <c:pt idx="23">
                  <c:v>3.3300000000000003E-2</c:v>
                </c:pt>
                <c:pt idx="24">
                  <c:v>-3.95E-2</c:v>
                </c:pt>
                <c:pt idx="25">
                  <c:v>2.5899999999999999E-2</c:v>
                </c:pt>
                <c:pt idx="26">
                  <c:v>-3.8800000000000001E-2</c:v>
                </c:pt>
                <c:pt idx="27">
                  <c:v>1.34E-2</c:v>
                </c:pt>
                <c:pt idx="28">
                  <c:v>-1.12E-2</c:v>
                </c:pt>
                <c:pt idx="29">
                  <c:v>-2.63E-2</c:v>
                </c:pt>
                <c:pt idx="30">
                  <c:v>2.4299999999999999E-2</c:v>
                </c:pt>
                <c:pt idx="31">
                  <c:v>2.8E-3</c:v>
                </c:pt>
                <c:pt idx="32">
                  <c:v>-1.6999999999999999E-3</c:v>
                </c:pt>
                <c:pt idx="33">
                  <c:v>1.9E-3</c:v>
                </c:pt>
                <c:pt idx="34">
                  <c:v>7.6E-3</c:v>
                </c:pt>
                <c:pt idx="35">
                  <c:v>-5.1000000000000004E-3</c:v>
                </c:pt>
                <c:pt idx="36">
                  <c:v>3.5400000000000001E-2</c:v>
                </c:pt>
                <c:pt idx="37">
                  <c:v>-6.1699999999999998E-2</c:v>
                </c:pt>
                <c:pt idx="38">
                  <c:v>1.26E-2</c:v>
                </c:pt>
                <c:pt idx="39">
                  <c:v>4.1200000000000001E-2</c:v>
                </c:pt>
                <c:pt idx="40">
                  <c:v>-4.8000000000000001E-2</c:v>
                </c:pt>
                <c:pt idx="41">
                  <c:v>-1.2699999999999999E-2</c:v>
                </c:pt>
                <c:pt idx="42">
                  <c:v>-6.9900000000000004E-2</c:v>
                </c:pt>
                <c:pt idx="43">
                  <c:v>3.27E-2</c:v>
                </c:pt>
                <c:pt idx="44">
                  <c:v>0.1149</c:v>
                </c:pt>
                <c:pt idx="45">
                  <c:v>6.6799999999999998E-2</c:v>
                </c:pt>
                <c:pt idx="46">
                  <c:v>5.3100000000000001E-2</c:v>
                </c:pt>
                <c:pt idx="47">
                  <c:v>6.5600000000000006E-2</c:v>
                </c:pt>
                <c:pt idx="48">
                  <c:v>-7.4999999999999997E-3</c:v>
                </c:pt>
                <c:pt idx="49">
                  <c:v>2.7E-2</c:v>
                </c:pt>
                <c:pt idx="50">
                  <c:v>-1.5699999999999999E-2</c:v>
                </c:pt>
                <c:pt idx="51">
                  <c:v>2.7300000000000001E-2</c:v>
                </c:pt>
                <c:pt idx="52">
                  <c:v>1.2699999999999999E-2</c:v>
                </c:pt>
                <c:pt idx="53">
                  <c:v>-3.56E-2</c:v>
                </c:pt>
                <c:pt idx="54">
                  <c:v>-1.41E-2</c:v>
                </c:pt>
                <c:pt idx="55">
                  <c:v>-3.7900000000000003E-2</c:v>
                </c:pt>
                <c:pt idx="56">
                  <c:v>2.0199999999999999E-2</c:v>
                </c:pt>
                <c:pt idx="57">
                  <c:v>1.4999999999999999E-2</c:v>
                </c:pt>
                <c:pt idx="58">
                  <c:v>6.8999999999999999E-3</c:v>
                </c:pt>
                <c:pt idx="59">
                  <c:v>1.4E-2</c:v>
                </c:pt>
                <c:pt idx="60">
                  <c:v>4.1200000000000001E-2</c:v>
                </c:pt>
                <c:pt idx="61">
                  <c:v>0.03</c:v>
                </c:pt>
                <c:pt idx="62">
                  <c:v>-1.9699999999999999E-2</c:v>
                </c:pt>
                <c:pt idx="63">
                  <c:v>2.2499999999999999E-2</c:v>
                </c:pt>
                <c:pt idx="64">
                  <c:v>2.75E-2</c:v>
                </c:pt>
                <c:pt idx="65">
                  <c:v>1.8800000000000001E-2</c:v>
                </c:pt>
                <c:pt idx="66">
                  <c:v>7.7999999999999996E-3</c:v>
                </c:pt>
                <c:pt idx="67">
                  <c:v>1.1000000000000001E-3</c:v>
                </c:pt>
                <c:pt idx="68">
                  <c:v>1.2E-2</c:v>
                </c:pt>
                <c:pt idx="69">
                  <c:v>-1.47E-2</c:v>
                </c:pt>
                <c:pt idx="70">
                  <c:v>1.12E-2</c:v>
                </c:pt>
                <c:pt idx="71">
                  <c:v>-4.36E-2</c:v>
                </c:pt>
                <c:pt idx="72">
                  <c:v>2.3099999999999999E-2</c:v>
                </c:pt>
                <c:pt idx="73">
                  <c:v>1.5800000000000002E-2</c:v>
                </c:pt>
                <c:pt idx="74">
                  <c:v>2.69E-2</c:v>
                </c:pt>
                <c:pt idx="75">
                  <c:v>-2.1899999999999999E-2</c:v>
                </c:pt>
                <c:pt idx="76">
                  <c:v>2.3999999999999998E-3</c:v>
                </c:pt>
                <c:pt idx="77">
                  <c:v>-2.3199999999999998E-2</c:v>
                </c:pt>
                <c:pt idx="78">
                  <c:v>-1.4E-2</c:v>
                </c:pt>
                <c:pt idx="79">
                  <c:v>-8.5000000000000006E-3</c:v>
                </c:pt>
                <c:pt idx="80">
                  <c:v>-2.7000000000000001E-3</c:v>
                </c:pt>
                <c:pt idx="81">
                  <c:v>2.76E-2</c:v>
                </c:pt>
                <c:pt idx="82">
                  <c:v>5.8999999999999999E-3</c:v>
                </c:pt>
                <c:pt idx="83">
                  <c:v>2E-3</c:v>
                </c:pt>
                <c:pt idx="84">
                  <c:v>-1.3599999999999999E-2</c:v>
                </c:pt>
                <c:pt idx="85">
                  <c:v>3.5400000000000001E-2</c:v>
                </c:pt>
                <c:pt idx="86">
                  <c:v>6.9999999999999999E-4</c:v>
                </c:pt>
                <c:pt idx="87">
                  <c:v>-1.52E-2</c:v>
                </c:pt>
                <c:pt idx="88">
                  <c:v>1.2999999999999999E-2</c:v>
                </c:pt>
                <c:pt idx="89">
                  <c:v>-4.3499999999999997E-2</c:v>
                </c:pt>
                <c:pt idx="90">
                  <c:v>-2.3E-3</c:v>
                </c:pt>
                <c:pt idx="91">
                  <c:v>2.47E-2</c:v>
                </c:pt>
                <c:pt idx="92">
                  <c:v>2.3999999999999998E-3</c:v>
                </c:pt>
                <c:pt idx="93">
                  <c:v>1.15E-2</c:v>
                </c:pt>
                <c:pt idx="94">
                  <c:v>-7.7000000000000002E-3</c:v>
                </c:pt>
                <c:pt idx="95">
                  <c:v>9.7999999999999997E-3</c:v>
                </c:pt>
                <c:pt idx="96">
                  <c:v>7.7999999999999996E-3</c:v>
                </c:pt>
                <c:pt idx="97">
                  <c:v>1.1999999999999999E-3</c:v>
                </c:pt>
                <c:pt idx="98">
                  <c:v>-6.13E-2</c:v>
                </c:pt>
                <c:pt idx="99">
                  <c:v>2.3599999999999999E-2</c:v>
                </c:pt>
                <c:pt idx="100">
                  <c:v>2.2100000000000002E-2</c:v>
                </c:pt>
                <c:pt idx="101">
                  <c:v>-1.24E-2</c:v>
                </c:pt>
                <c:pt idx="102">
                  <c:v>3.5999999999999999E-3</c:v>
                </c:pt>
                <c:pt idx="103">
                  <c:v>2.8999999999999998E-3</c:v>
                </c:pt>
                <c:pt idx="104">
                  <c:v>1.47E-2</c:v>
                </c:pt>
                <c:pt idx="105">
                  <c:v>4.7300000000000002E-2</c:v>
                </c:pt>
                <c:pt idx="106">
                  <c:v>-7.3000000000000001E-3</c:v>
                </c:pt>
                <c:pt idx="107">
                  <c:v>-1.9099999999999999E-2</c:v>
                </c:pt>
                <c:pt idx="108">
                  <c:v>2.23E-2</c:v>
                </c:pt>
                <c:pt idx="109">
                  <c:v>2.76E-2</c:v>
                </c:pt>
                <c:pt idx="110">
                  <c:v>-1.5599999999999999E-2</c:v>
                </c:pt>
                <c:pt idx="111">
                  <c:v>-0.03</c:v>
                </c:pt>
                <c:pt idx="112">
                  <c:v>-0.1138</c:v>
                </c:pt>
                <c:pt idx="113">
                  <c:v>7.6E-3</c:v>
                </c:pt>
                <c:pt idx="114">
                  <c:v>4.2200000000000001E-2</c:v>
                </c:pt>
                <c:pt idx="115">
                  <c:v>-2.29E-2</c:v>
                </c:pt>
                <c:pt idx="116">
                  <c:v>5.6399999999999999E-2</c:v>
                </c:pt>
                <c:pt idx="117">
                  <c:v>1.7500000000000002E-2</c:v>
                </c:pt>
                <c:pt idx="118">
                  <c:v>1.4E-2</c:v>
                </c:pt>
                <c:pt idx="119">
                  <c:v>3.3399999999999999E-2</c:v>
                </c:pt>
                <c:pt idx="120">
                  <c:v>-2.87E-2</c:v>
                </c:pt>
                <c:pt idx="121">
                  <c:v>-6.0400000000000002E-2</c:v>
                </c:pt>
                <c:pt idx="122">
                  <c:v>2.9999999999999997E-4</c:v>
                </c:pt>
                <c:pt idx="123">
                  <c:v>-8.0000000000000002E-3</c:v>
                </c:pt>
                <c:pt idx="124">
                  <c:v>3.6499999999999998E-2</c:v>
                </c:pt>
                <c:pt idx="125">
                  <c:v>6.1000000000000004E-3</c:v>
                </c:pt>
                <c:pt idx="126">
                  <c:v>-3.8300000000000001E-2</c:v>
                </c:pt>
                <c:pt idx="127">
                  <c:v>-4.3099999999999999E-2</c:v>
                </c:pt>
                <c:pt idx="128">
                  <c:v>1.14E-2</c:v>
                </c:pt>
                <c:pt idx="129">
                  <c:v>-3.4799999999999998E-2</c:v>
                </c:pt>
                <c:pt idx="130">
                  <c:v>-4.4999999999999997E-3</c:v>
                </c:pt>
                <c:pt idx="131">
                  <c:v>-9.4000000000000004E-3</c:v>
                </c:pt>
                <c:pt idx="132">
                  <c:v>4.4499999999999998E-2</c:v>
                </c:pt>
                <c:pt idx="133">
                  <c:v>2.5399999999999999E-2</c:v>
                </c:pt>
                <c:pt idx="134">
                  <c:v>-2.0999999999999999E-3</c:v>
                </c:pt>
                <c:pt idx="135">
                  <c:v>3.4799999999999998E-2</c:v>
                </c:pt>
                <c:pt idx="136">
                  <c:v>2.3199999999999998E-2</c:v>
                </c:pt>
                <c:pt idx="137">
                  <c:v>-6.0000000000000001E-3</c:v>
                </c:pt>
                <c:pt idx="138">
                  <c:v>-5.4800000000000001E-2</c:v>
                </c:pt>
                <c:pt idx="139">
                  <c:v>-3.3999999999999998E-3</c:v>
                </c:pt>
                <c:pt idx="140">
                  <c:v>-6.7999999999999996E-3</c:v>
                </c:pt>
                <c:pt idx="141">
                  <c:v>-4.5499999999999999E-2</c:v>
                </c:pt>
                <c:pt idx="142">
                  <c:v>-6.4999999999999997E-3</c:v>
                </c:pt>
                <c:pt idx="143">
                  <c:v>2.6700000000000002E-2</c:v>
                </c:pt>
                <c:pt idx="144">
                  <c:v>2.24E-2</c:v>
                </c:pt>
                <c:pt idx="145">
                  <c:v>2.7199999999999998E-2</c:v>
                </c:pt>
                <c:pt idx="146">
                  <c:v>6.7000000000000002E-3</c:v>
                </c:pt>
                <c:pt idx="147">
                  <c:v>2.1299999999999999E-2</c:v>
                </c:pt>
                <c:pt idx="148">
                  <c:v>2.12E-2</c:v>
                </c:pt>
                <c:pt idx="149">
                  <c:v>-8.8000000000000005E-3</c:v>
                </c:pt>
                <c:pt idx="150">
                  <c:v>3.1199999999999999E-2</c:v>
                </c:pt>
                <c:pt idx="151">
                  <c:v>-1.49E-2</c:v>
                </c:pt>
                <c:pt idx="152">
                  <c:v>1.3299999999999999E-2</c:v>
                </c:pt>
                <c:pt idx="153">
                  <c:v>-4.4999999999999997E-3</c:v>
                </c:pt>
                <c:pt idx="154">
                  <c:v>1.03E-2</c:v>
                </c:pt>
                <c:pt idx="155">
                  <c:v>9.2999999999999992E-3</c:v>
                </c:pt>
                <c:pt idx="156">
                  <c:v>2.3300000000000001E-2</c:v>
                </c:pt>
                <c:pt idx="157">
                  <c:v>1.78E-2</c:v>
                </c:pt>
                <c:pt idx="158">
                  <c:v>1.0999999999999999E-2</c:v>
                </c:pt>
                <c:pt idx="159">
                  <c:v>3.7199999999999997E-2</c:v>
                </c:pt>
                <c:pt idx="160">
                  <c:v>1.77E-2</c:v>
                </c:pt>
                <c:pt idx="161">
                  <c:v>3.3599999999999998E-2</c:v>
                </c:pt>
                <c:pt idx="162">
                  <c:v>3.2399999999999998E-2</c:v>
                </c:pt>
                <c:pt idx="163">
                  <c:v>9.5999999999999992E-3</c:v>
                </c:pt>
                <c:pt idx="164">
                  <c:v>1.1999999999999999E-3</c:v>
                </c:pt>
                <c:pt idx="165">
                  <c:v>-5.2400000000000002E-2</c:v>
                </c:pt>
                <c:pt idx="166">
                  <c:v>-3.4099999999999998E-2</c:v>
                </c:pt>
                <c:pt idx="167">
                  <c:v>1E-3</c:v>
                </c:pt>
                <c:pt idx="168">
                  <c:v>3.27E-2</c:v>
                </c:pt>
                <c:pt idx="169">
                  <c:v>1.84E-2</c:v>
                </c:pt>
                <c:pt idx="170">
                  <c:v>2.6800000000000001E-2</c:v>
                </c:pt>
                <c:pt idx="171">
                  <c:v>7.7000000000000002E-3</c:v>
                </c:pt>
                <c:pt idx="172">
                  <c:v>-2.3599999999999999E-2</c:v>
                </c:pt>
                <c:pt idx="173">
                  <c:v>2.41E-2</c:v>
                </c:pt>
                <c:pt idx="174">
                  <c:v>1.04E-2</c:v>
                </c:pt>
                <c:pt idx="175">
                  <c:v>8.5000000000000006E-3</c:v>
                </c:pt>
                <c:pt idx="176">
                  <c:v>7.8200000000000006E-2</c:v>
                </c:pt>
                <c:pt idx="177">
                  <c:v>-2.5000000000000001E-3</c:v>
                </c:pt>
                <c:pt idx="178">
                  <c:v>3.5999999999999997E-2</c:v>
                </c:pt>
                <c:pt idx="179">
                  <c:v>1.26E-2</c:v>
                </c:pt>
                <c:pt idx="180">
                  <c:v>-6.8999999999999999E-3</c:v>
                </c:pt>
                <c:pt idx="181">
                  <c:v>7.7999999999999996E-3</c:v>
                </c:pt>
                <c:pt idx="182">
                  <c:v>-2.0000000000000001E-4</c:v>
                </c:pt>
                <c:pt idx="183">
                  <c:v>3.6999999999999998E-2</c:v>
                </c:pt>
                <c:pt idx="184">
                  <c:v>1.0200000000000001E-2</c:v>
                </c:pt>
                <c:pt idx="185">
                  <c:v>-4.0000000000000001E-3</c:v>
                </c:pt>
                <c:pt idx="186">
                  <c:v>-1.0800000000000001E-2</c:v>
                </c:pt>
                <c:pt idx="187">
                  <c:v>-2.4799999999999999E-2</c:v>
                </c:pt>
                <c:pt idx="188">
                  <c:v>-1.83E-2</c:v>
                </c:pt>
                <c:pt idx="189">
                  <c:v>2.8799999999999999E-2</c:v>
                </c:pt>
                <c:pt idx="190">
                  <c:v>-2.0000000000000001E-4</c:v>
                </c:pt>
                <c:pt idx="191">
                  <c:v>-3.0800000000000001E-2</c:v>
                </c:pt>
                <c:pt idx="192">
                  <c:v>-6.9999999999999999E-4</c:v>
                </c:pt>
                <c:pt idx="193">
                  <c:v>-3.2399999999999998E-2</c:v>
                </c:pt>
                <c:pt idx="194">
                  <c:v>-6.8999999999999999E-3</c:v>
                </c:pt>
                <c:pt idx="195">
                  <c:v>-5.9900000000000002E-2</c:v>
                </c:pt>
                <c:pt idx="196">
                  <c:v>2.8799999999999999E-2</c:v>
                </c:pt>
                <c:pt idx="197">
                  <c:v>4.4999999999999997E-3</c:v>
                </c:pt>
                <c:pt idx="198">
                  <c:v>3.3E-3</c:v>
                </c:pt>
                <c:pt idx="199">
                  <c:v>3.4799999999999998E-2</c:v>
                </c:pt>
                <c:pt idx="200">
                  <c:v>-1.37E-2</c:v>
                </c:pt>
                <c:pt idx="201">
                  <c:v>3.9399999999999998E-2</c:v>
                </c:pt>
                <c:pt idx="202">
                  <c:v>6.6E-3</c:v>
                </c:pt>
                <c:pt idx="203">
                  <c:v>1.7000000000000001E-2</c:v>
                </c:pt>
                <c:pt idx="204">
                  <c:v>-3.8999999999999998E-3</c:v>
                </c:pt>
                <c:pt idx="205">
                  <c:v>1.23E-2</c:v>
                </c:pt>
                <c:pt idx="206">
                  <c:v>1E-4</c:v>
                </c:pt>
                <c:pt idx="207">
                  <c:v>1.6999999999999999E-3</c:v>
                </c:pt>
                <c:pt idx="208">
                  <c:v>1.43E-2</c:v>
                </c:pt>
                <c:pt idx="209">
                  <c:v>3.1199999999999999E-2</c:v>
                </c:pt>
                <c:pt idx="210">
                  <c:v>-9.2999999999999992E-3</c:v>
                </c:pt>
                <c:pt idx="211">
                  <c:v>1.5599999999999999E-2</c:v>
                </c:pt>
                <c:pt idx="212">
                  <c:v>1.77E-2</c:v>
                </c:pt>
                <c:pt idx="213">
                  <c:v>1.1599999999999999E-2</c:v>
                </c:pt>
                <c:pt idx="214">
                  <c:v>3.0999999999999999E-3</c:v>
                </c:pt>
                <c:pt idx="215">
                  <c:v>5.7000000000000002E-3</c:v>
                </c:pt>
                <c:pt idx="216">
                  <c:v>6.7000000000000002E-3</c:v>
                </c:pt>
                <c:pt idx="217">
                  <c:v>3.0000000000000001E-3</c:v>
                </c:pt>
                <c:pt idx="218">
                  <c:v>-3.5000000000000001E-3</c:v>
                </c:pt>
                <c:pt idx="219">
                  <c:v>2.2000000000000001E-3</c:v>
                </c:pt>
                <c:pt idx="220">
                  <c:v>-2E-3</c:v>
                </c:pt>
                <c:pt idx="221">
                  <c:v>-2.7300000000000001E-2</c:v>
                </c:pt>
                <c:pt idx="222">
                  <c:v>1.24E-2</c:v>
                </c:pt>
                <c:pt idx="223">
                  <c:v>-5.7000000000000002E-3</c:v>
                </c:pt>
                <c:pt idx="224">
                  <c:v>4.48E-2</c:v>
                </c:pt>
                <c:pt idx="225">
                  <c:v>-1.9E-3</c:v>
                </c:pt>
                <c:pt idx="226">
                  <c:v>2.1899999999999999E-2</c:v>
                </c:pt>
                <c:pt idx="227">
                  <c:v>4.3E-3</c:v>
                </c:pt>
                <c:pt idx="228">
                  <c:v>-8.6E-3</c:v>
                </c:pt>
                <c:pt idx="229">
                  <c:v>-3.1E-2</c:v>
                </c:pt>
                <c:pt idx="230">
                  <c:v>1.8499999999999999E-2</c:v>
                </c:pt>
                <c:pt idx="231">
                  <c:v>-3.5299999999999998E-2</c:v>
                </c:pt>
                <c:pt idx="232">
                  <c:v>1.2200000000000001E-2</c:v>
                </c:pt>
                <c:pt idx="233">
                  <c:v>-1.3899999999999999E-2</c:v>
                </c:pt>
                <c:pt idx="234">
                  <c:v>2.58E-2</c:v>
                </c:pt>
                <c:pt idx="235">
                  <c:v>8.2000000000000007E-3</c:v>
                </c:pt>
                <c:pt idx="236">
                  <c:v>8.3000000000000001E-3</c:v>
                </c:pt>
                <c:pt idx="237">
                  <c:v>3.3E-3</c:v>
                </c:pt>
                <c:pt idx="238">
                  <c:v>-2.6100000000000002E-2</c:v>
                </c:pt>
                <c:pt idx="239">
                  <c:v>-3.3300000000000003E-2</c:v>
                </c:pt>
                <c:pt idx="240">
                  <c:v>3.5099999999999999E-2</c:v>
                </c:pt>
                <c:pt idx="241">
                  <c:v>5.0000000000000001E-4</c:v>
                </c:pt>
                <c:pt idx="242">
                  <c:v>-1E-3</c:v>
                </c:pt>
                <c:pt idx="243">
                  <c:v>8.3000000000000001E-3</c:v>
                </c:pt>
                <c:pt idx="244">
                  <c:v>-1.66E-2</c:v>
                </c:pt>
                <c:pt idx="245">
                  <c:v>4.1999999999999997E-3</c:v>
                </c:pt>
                <c:pt idx="246">
                  <c:v>3.0499999999999999E-2</c:v>
                </c:pt>
                <c:pt idx="247">
                  <c:v>-2.1000000000000001E-2</c:v>
                </c:pt>
                <c:pt idx="248">
                  <c:v>-1.47E-2</c:v>
                </c:pt>
                <c:pt idx="249">
                  <c:v>1.89E-2</c:v>
                </c:pt>
                <c:pt idx="250">
                  <c:v>-3.6900000000000002E-2</c:v>
                </c:pt>
                <c:pt idx="251">
                  <c:v>2.0000000000000001E-4</c:v>
                </c:pt>
                <c:pt idx="252">
                  <c:v>1.6299999999999999E-2</c:v>
                </c:pt>
                <c:pt idx="253">
                  <c:v>-6.6E-3</c:v>
                </c:pt>
                <c:pt idx="254">
                  <c:v>-1.6000000000000001E-3</c:v>
                </c:pt>
                <c:pt idx="255">
                  <c:v>-5.7999999999999996E-3</c:v>
                </c:pt>
                <c:pt idx="256">
                  <c:v>4.5199999999999997E-2</c:v>
                </c:pt>
                <c:pt idx="257">
                  <c:v>8.8000000000000005E-3</c:v>
                </c:pt>
                <c:pt idx="258">
                  <c:v>-1.14E-2</c:v>
                </c:pt>
                <c:pt idx="259">
                  <c:v>3.3999999999999998E-3</c:v>
                </c:pt>
                <c:pt idx="260">
                  <c:v>2.0199999999999999E-2</c:v>
                </c:pt>
                <c:pt idx="261">
                  <c:v>3.1199999999999999E-2</c:v>
                </c:pt>
                <c:pt idx="262">
                  <c:v>-9.2999999999999992E-3</c:v>
                </c:pt>
                <c:pt idx="263">
                  <c:v>1.5599999999999999E-2</c:v>
                </c:pt>
                <c:pt idx="264">
                  <c:v>1.77E-2</c:v>
                </c:pt>
                <c:pt idx="265">
                  <c:v>1.1599999999999999E-2</c:v>
                </c:pt>
                <c:pt idx="266">
                  <c:v>3.0999999999999999E-3</c:v>
                </c:pt>
                <c:pt idx="267">
                  <c:v>5.7000000000000002E-3</c:v>
                </c:pt>
                <c:pt idx="268">
                  <c:v>6.7000000000000002E-3</c:v>
                </c:pt>
                <c:pt idx="269">
                  <c:v>3.0000000000000001E-3</c:v>
                </c:pt>
                <c:pt idx="270">
                  <c:v>-3.5000000000000001E-3</c:v>
                </c:pt>
                <c:pt idx="271">
                  <c:v>2.2000000000000001E-3</c:v>
                </c:pt>
                <c:pt idx="272">
                  <c:v>-2E-3</c:v>
                </c:pt>
                <c:pt idx="273">
                  <c:v>-2.7300000000000001E-2</c:v>
                </c:pt>
                <c:pt idx="274">
                  <c:v>1.24E-2</c:v>
                </c:pt>
                <c:pt idx="275">
                  <c:v>-5.7000000000000002E-3</c:v>
                </c:pt>
                <c:pt idx="276">
                  <c:v>4.48E-2</c:v>
                </c:pt>
                <c:pt idx="277">
                  <c:v>-1.9E-3</c:v>
                </c:pt>
                <c:pt idx="278">
                  <c:v>2.1899999999999999E-2</c:v>
                </c:pt>
                <c:pt idx="279">
                  <c:v>4.3E-3</c:v>
                </c:pt>
                <c:pt idx="280">
                  <c:v>-8.6E-3</c:v>
                </c:pt>
                <c:pt idx="281">
                  <c:v>-3.1E-2</c:v>
                </c:pt>
                <c:pt idx="282">
                  <c:v>1.8499999999999999E-2</c:v>
                </c:pt>
                <c:pt idx="283">
                  <c:v>-3.5299999999999998E-2</c:v>
                </c:pt>
                <c:pt idx="284">
                  <c:v>1.2200000000000001E-2</c:v>
                </c:pt>
                <c:pt idx="285">
                  <c:v>-1.3899999999999999E-2</c:v>
                </c:pt>
                <c:pt idx="286">
                  <c:v>2.58E-2</c:v>
                </c:pt>
                <c:pt idx="287">
                  <c:v>8.2000000000000007E-3</c:v>
                </c:pt>
                <c:pt idx="288">
                  <c:v>8.3000000000000001E-3</c:v>
                </c:pt>
                <c:pt idx="289">
                  <c:v>3.3E-3</c:v>
                </c:pt>
                <c:pt idx="290">
                  <c:v>-2.6100000000000002E-2</c:v>
                </c:pt>
                <c:pt idx="291">
                  <c:v>-3.3300000000000003E-2</c:v>
                </c:pt>
                <c:pt idx="292">
                  <c:v>3.5099999999999999E-2</c:v>
                </c:pt>
                <c:pt idx="293">
                  <c:v>5.0000000000000001E-4</c:v>
                </c:pt>
                <c:pt idx="294">
                  <c:v>-1E-3</c:v>
                </c:pt>
                <c:pt idx="295">
                  <c:v>8.3000000000000001E-3</c:v>
                </c:pt>
                <c:pt idx="296">
                  <c:v>-1.66E-2</c:v>
                </c:pt>
                <c:pt idx="297">
                  <c:v>4.1999999999999997E-3</c:v>
                </c:pt>
                <c:pt idx="298">
                  <c:v>3.0499999999999999E-2</c:v>
                </c:pt>
                <c:pt idx="299">
                  <c:v>-2.1000000000000001E-2</c:v>
                </c:pt>
                <c:pt idx="300">
                  <c:v>-1.47E-2</c:v>
                </c:pt>
                <c:pt idx="301">
                  <c:v>1.89E-2</c:v>
                </c:pt>
                <c:pt idx="302">
                  <c:v>-3.6900000000000002E-2</c:v>
                </c:pt>
                <c:pt idx="303">
                  <c:v>2.0000000000000001E-4</c:v>
                </c:pt>
                <c:pt idx="304">
                  <c:v>1.6299999999999999E-2</c:v>
                </c:pt>
                <c:pt idx="305">
                  <c:v>-6.6E-3</c:v>
                </c:pt>
                <c:pt idx="306">
                  <c:v>-1.6000000000000001E-3</c:v>
                </c:pt>
                <c:pt idx="307">
                  <c:v>-5.7999999999999996E-3</c:v>
                </c:pt>
                <c:pt idx="308">
                  <c:v>4.5199999999999997E-2</c:v>
                </c:pt>
                <c:pt idx="309">
                  <c:v>8.8000000000000005E-3</c:v>
                </c:pt>
                <c:pt idx="310">
                  <c:v>-1.14E-2</c:v>
                </c:pt>
                <c:pt idx="311">
                  <c:v>3.3999999999999998E-3</c:v>
                </c:pt>
                <c:pt idx="312">
                  <c:v>2.0199999999999999E-2</c:v>
                </c:pt>
                <c:pt idx="313">
                  <c:v>1.14E-2</c:v>
                </c:pt>
                <c:pt idx="314">
                  <c:v>1.3899999999999999E-2</c:v>
                </c:pt>
                <c:pt idx="315">
                  <c:v>1.2800000000000001E-2</c:v>
                </c:pt>
                <c:pt idx="316">
                  <c:v>3.3999999999999998E-3</c:v>
                </c:pt>
                <c:pt idx="317">
                  <c:v>5.4999999999999997E-3</c:v>
                </c:pt>
                <c:pt idx="318">
                  <c:v>2.98E-2</c:v>
                </c:pt>
                <c:pt idx="319">
                  <c:v>8.6E-3</c:v>
                </c:pt>
                <c:pt idx="320">
                  <c:v>-6.4000000000000003E-3</c:v>
                </c:pt>
                <c:pt idx="321">
                  <c:v>1.2200000000000001E-2</c:v>
                </c:pt>
                <c:pt idx="322">
                  <c:v>4.07E-2</c:v>
                </c:pt>
                <c:pt idx="323">
                  <c:v>2.0999999999999999E-3</c:v>
                </c:pt>
                <c:pt idx="324">
                  <c:v>2.2700000000000001E-2</c:v>
                </c:pt>
                <c:pt idx="325">
                  <c:v>-7.9600000000000004E-2</c:v>
                </c:pt>
                <c:pt idx="326">
                  <c:v>-9.4000000000000004E-3</c:v>
                </c:pt>
                <c:pt idx="327">
                  <c:v>3.7600000000000001E-2</c:v>
                </c:pt>
                <c:pt idx="328">
                  <c:v>3.8600000000000002E-2</c:v>
                </c:pt>
                <c:pt idx="329">
                  <c:v>1.2E-2</c:v>
                </c:pt>
                <c:pt idx="330">
                  <c:v>1.41E-2</c:v>
                </c:pt>
                <c:pt idx="331">
                  <c:v>3.0599999999999999E-2</c:v>
                </c:pt>
                <c:pt idx="332">
                  <c:v>-1E-3</c:v>
                </c:pt>
                <c:pt idx="333">
                  <c:v>1.6E-2</c:v>
                </c:pt>
                <c:pt idx="334">
                  <c:v>6.4000000000000003E-3</c:v>
                </c:pt>
                <c:pt idx="335">
                  <c:v>-4.0000000000000001E-3</c:v>
                </c:pt>
                <c:pt idx="336">
                  <c:v>-1.8200000000000001E-2</c:v>
                </c:pt>
                <c:pt idx="337">
                  <c:v>4.1599999999999998E-2</c:v>
                </c:pt>
                <c:pt idx="338">
                  <c:v>2.1899999999999999E-2</c:v>
                </c:pt>
                <c:pt idx="339">
                  <c:v>2.1899999999999999E-2</c:v>
                </c:pt>
                <c:pt idx="340">
                  <c:v>1.29E-2</c:v>
                </c:pt>
                <c:pt idx="341">
                  <c:v>-8.5000000000000006E-3</c:v>
                </c:pt>
                <c:pt idx="342">
                  <c:v>-4.4000000000000003E-3</c:v>
                </c:pt>
                <c:pt idx="343">
                  <c:v>5.62E-2</c:v>
                </c:pt>
                <c:pt idx="344">
                  <c:v>2.7099999999999999E-2</c:v>
                </c:pt>
                <c:pt idx="345">
                  <c:v>-1.0500000000000001E-2</c:v>
                </c:pt>
                <c:pt idx="346">
                  <c:v>-3.9100000000000003E-2</c:v>
                </c:pt>
                <c:pt idx="347">
                  <c:v>6.9999999999999999E-4</c:v>
                </c:pt>
                <c:pt idx="348">
                  <c:v>1.9599999999999999E-2</c:v>
                </c:pt>
                <c:pt idx="349">
                  <c:v>-1.5599999999999999E-2</c:v>
                </c:pt>
                <c:pt idx="350">
                  <c:v>6.9999999999999999E-4</c:v>
                </c:pt>
                <c:pt idx="351">
                  <c:v>2.2100000000000002E-2</c:v>
                </c:pt>
                <c:pt idx="352">
                  <c:v>1.61E-2</c:v>
                </c:pt>
                <c:pt idx="353">
                  <c:v>-5.8099999999999999E-2</c:v>
                </c:pt>
                <c:pt idx="354">
                  <c:v>1.2E-2</c:v>
                </c:pt>
                <c:pt idx="355">
                  <c:v>-8.0999999999999996E-3</c:v>
                </c:pt>
                <c:pt idx="356">
                  <c:v>-4.1999999999999997E-3</c:v>
                </c:pt>
                <c:pt idx="357">
                  <c:v>3.6499999999999998E-2</c:v>
                </c:pt>
                <c:pt idx="358">
                  <c:v>1.1000000000000001E-3</c:v>
                </c:pt>
                <c:pt idx="359">
                  <c:v>1.04E-2</c:v>
                </c:pt>
                <c:pt idx="360">
                  <c:v>1.04E-2</c:v>
                </c:pt>
                <c:pt idx="361">
                  <c:v>-2.9999999999999997E-4</c:v>
                </c:pt>
                <c:pt idx="362">
                  <c:v>3.8999999999999998E-3</c:v>
                </c:pt>
                <c:pt idx="363">
                  <c:v>7.0000000000000001E-3</c:v>
                </c:pt>
              </c:numCache>
            </c:numRef>
          </c:xVal>
          <c:yVal>
            <c:numRef>
              <c:f>'Beta 5-Year'!$B$25:$B$388</c:f>
              <c:numCache>
                <c:formatCode>General</c:formatCode>
                <c:ptCount val="364"/>
                <c:pt idx="0">
                  <c:v>5.8302475749836876E-3</c:v>
                </c:pt>
                <c:pt idx="1">
                  <c:v>9.9771935336939298E-3</c:v>
                </c:pt>
                <c:pt idx="2">
                  <c:v>1.2077594733560158E-2</c:v>
                </c:pt>
                <c:pt idx="3">
                  <c:v>-1.7651160710700282E-2</c:v>
                </c:pt>
                <c:pt idx="4">
                  <c:v>3.7837028161396714E-3</c:v>
                </c:pt>
                <c:pt idx="5">
                  <c:v>1.051575794391604E-2</c:v>
                </c:pt>
                <c:pt idx="6">
                  <c:v>-1.3288788987901196E-2</c:v>
                </c:pt>
                <c:pt idx="7">
                  <c:v>-0.1003746541208163</c:v>
                </c:pt>
                <c:pt idx="8">
                  <c:v>-2.2821379048832531E-2</c:v>
                </c:pt>
                <c:pt idx="9">
                  <c:v>-0.10064393632592734</c:v>
                </c:pt>
                <c:pt idx="10">
                  <c:v>6.8535199544056957E-3</c:v>
                </c:pt>
                <c:pt idx="11">
                  <c:v>-3.6324314257057174E-4</c:v>
                </c:pt>
                <c:pt idx="12">
                  <c:v>-6.1258823319471425E-3</c:v>
                </c:pt>
                <c:pt idx="13">
                  <c:v>7.0080981714481336E-2</c:v>
                </c:pt>
                <c:pt idx="14">
                  <c:v>3.2989948469397731E-3</c:v>
                </c:pt>
                <c:pt idx="15">
                  <c:v>3.4605641700064058E-3</c:v>
                </c:pt>
                <c:pt idx="16">
                  <c:v>2.3172021584135609E-2</c:v>
                </c:pt>
                <c:pt idx="17">
                  <c:v>-1.6951026977411542E-2</c:v>
                </c:pt>
                <c:pt idx="18">
                  <c:v>-5.8566001268360868E-3</c:v>
                </c:pt>
                <c:pt idx="19">
                  <c:v>1.8271085451114416E-2</c:v>
                </c:pt>
                <c:pt idx="20">
                  <c:v>4.2129488823953863E-2</c:v>
                </c:pt>
                <c:pt idx="21">
                  <c:v>2.9257799419645451E-2</c:v>
                </c:pt>
                <c:pt idx="22">
                  <c:v>-2.5083349571765397E-2</c:v>
                </c:pt>
                <c:pt idx="23">
                  <c:v>2.1717897676535917E-2</c:v>
                </c:pt>
                <c:pt idx="24">
                  <c:v>-1.7489591387633653E-2</c:v>
                </c:pt>
                <c:pt idx="25">
                  <c:v>1.7732521040892305E-2</c:v>
                </c:pt>
                <c:pt idx="26">
                  <c:v>-1.7112596300478178E-2</c:v>
                </c:pt>
                <c:pt idx="27">
                  <c:v>1.1000465913115938E-2</c:v>
                </c:pt>
                <c:pt idx="28">
                  <c:v>-2.2482185783479543E-3</c:v>
                </c:pt>
                <c:pt idx="29">
                  <c:v>-1.0380541172701808E-2</c:v>
                </c:pt>
                <c:pt idx="30">
                  <c:v>1.6870817984536927E-2</c:v>
                </c:pt>
                <c:pt idx="31">
                  <c:v>5.2916831647615778E-3</c:v>
                </c:pt>
                <c:pt idx="32">
                  <c:v>2.8681433187620854E-3</c:v>
                </c:pt>
                <c:pt idx="33">
                  <c:v>4.8069751955616795E-3</c:v>
                </c:pt>
                <c:pt idx="34">
                  <c:v>7.8767923338277021E-3</c:v>
                </c:pt>
                <c:pt idx="35">
                  <c:v>1.037024324006913E-3</c:v>
                </c:pt>
                <c:pt idx="36">
                  <c:v>2.2848882938002343E-2</c:v>
                </c:pt>
                <c:pt idx="37">
                  <c:v>-2.9445721294564478E-2</c:v>
                </c:pt>
                <c:pt idx="38">
                  <c:v>1.0569614384938249E-2</c:v>
                </c:pt>
                <c:pt idx="39">
                  <c:v>2.5972556517290579E-2</c:v>
                </c:pt>
                <c:pt idx="40">
                  <c:v>-2.206738887452158E-2</c:v>
                </c:pt>
                <c:pt idx="41">
                  <c:v>-3.0560651936811182E-3</c:v>
                </c:pt>
                <c:pt idx="42">
                  <c:v>-3.3861949458385783E-2</c:v>
                </c:pt>
                <c:pt idx="43">
                  <c:v>2.1394759030402652E-2</c:v>
                </c:pt>
                <c:pt idx="44">
                  <c:v>6.5664753550660052E-2</c:v>
                </c:pt>
                <c:pt idx="45">
                  <c:v>3.9759805418976578E-2</c:v>
                </c:pt>
                <c:pt idx="46">
                  <c:v>3.238147299893368E-2</c:v>
                </c:pt>
                <c:pt idx="47">
                  <c:v>3.9113528126710054E-2</c:v>
                </c:pt>
                <c:pt idx="48">
                  <c:v>-2.5553026052614961E-4</c:v>
                </c:pt>
                <c:pt idx="49">
                  <c:v>1.8324941892136626E-2</c:v>
                </c:pt>
                <c:pt idx="50">
                  <c:v>-4.6717584243474459E-3</c:v>
                </c:pt>
                <c:pt idx="51">
                  <c:v>1.8486511215203262E-2</c:v>
                </c:pt>
                <c:pt idx="52">
                  <c:v>1.0623470825960461E-2</c:v>
                </c:pt>
                <c:pt idx="53">
                  <c:v>-1.5389190187767425E-2</c:v>
                </c:pt>
                <c:pt idx="54">
                  <c:v>-3.8100553679920714E-3</c:v>
                </c:pt>
                <c:pt idx="55">
                  <c:v>-1.6627888331278276E-2</c:v>
                </c:pt>
                <c:pt idx="56">
                  <c:v>1.4662703902626282E-2</c:v>
                </c:pt>
                <c:pt idx="57">
                  <c:v>1.1862168969471313E-2</c:v>
                </c:pt>
                <c:pt idx="58">
                  <c:v>7.4997972466722268E-3</c:v>
                </c:pt>
                <c:pt idx="59">
                  <c:v>1.1323604559249204E-2</c:v>
                </c:pt>
                <c:pt idx="60">
                  <c:v>2.5972556517290579E-2</c:v>
                </c:pt>
                <c:pt idx="61">
                  <c:v>1.9940635122802954E-2</c:v>
                </c:pt>
                <c:pt idx="62">
                  <c:v>-6.8260160652358834E-3</c:v>
                </c:pt>
                <c:pt idx="63">
                  <c:v>1.5901402046137131E-2</c:v>
                </c:pt>
                <c:pt idx="64">
                  <c:v>1.8594224097247682E-2</c:v>
                </c:pt>
                <c:pt idx="65">
                  <c:v>1.390871372831533E-2</c:v>
                </c:pt>
                <c:pt idx="66">
                  <c:v>7.9845052158721251E-3</c:v>
                </c:pt>
                <c:pt idx="67">
                  <c:v>4.3761236673839918E-3</c:v>
                </c:pt>
                <c:pt idx="68">
                  <c:v>1.0246475738804984E-2</c:v>
                </c:pt>
                <c:pt idx="69">
                  <c:v>-4.1331940141253378E-3</c:v>
                </c:pt>
                <c:pt idx="70">
                  <c:v>9.8156242106272971E-3</c:v>
                </c:pt>
                <c:pt idx="71">
                  <c:v>-1.9697705469544302E-2</c:v>
                </c:pt>
                <c:pt idx="72">
                  <c:v>1.6224540692270396E-2</c:v>
                </c:pt>
                <c:pt idx="73">
                  <c:v>1.2293020497649002E-2</c:v>
                </c:pt>
                <c:pt idx="74">
                  <c:v>1.8271085451114416E-2</c:v>
                </c:pt>
                <c:pt idx="75">
                  <c:v>-8.0108577677245243E-3</c:v>
                </c:pt>
                <c:pt idx="76">
                  <c:v>5.0762574006727335E-3</c:v>
                </c:pt>
                <c:pt idx="77">
                  <c:v>-8.7109915010132669E-3</c:v>
                </c:pt>
                <c:pt idx="78">
                  <c:v>-3.7561989269698608E-3</c:v>
                </c:pt>
                <c:pt idx="79">
                  <c:v>-7.9409467074825942E-4</c:v>
                </c:pt>
                <c:pt idx="80">
                  <c:v>2.3295789085399756E-3</c:v>
                </c:pt>
                <c:pt idx="81">
                  <c:v>1.8648080538269891E-2</c:v>
                </c:pt>
                <c:pt idx="82">
                  <c:v>6.961232836450117E-3</c:v>
                </c:pt>
                <c:pt idx="83">
                  <c:v>4.8608316365838901E-3</c:v>
                </c:pt>
                <c:pt idx="84">
                  <c:v>-3.5407731628810165E-3</c:v>
                </c:pt>
                <c:pt idx="85">
                  <c:v>2.2848882938002343E-2</c:v>
                </c:pt>
                <c:pt idx="86">
                  <c:v>4.1606979032951484E-3</c:v>
                </c:pt>
                <c:pt idx="87">
                  <c:v>-4.4024762192363918E-3</c:v>
                </c:pt>
                <c:pt idx="88">
                  <c:v>1.0785040149027094E-2</c:v>
                </c:pt>
                <c:pt idx="89">
                  <c:v>-1.9643849028522085E-2</c:v>
                </c:pt>
                <c:pt idx="90">
                  <c:v>2.5450046726288198E-3</c:v>
                </c:pt>
                <c:pt idx="91">
                  <c:v>1.7086243748625773E-2</c:v>
                </c:pt>
                <c:pt idx="92">
                  <c:v>5.0762574006727335E-3</c:v>
                </c:pt>
                <c:pt idx="93">
                  <c:v>9.9771935336939298E-3</c:v>
                </c:pt>
                <c:pt idx="94">
                  <c:v>-3.6324314257057174E-4</c:v>
                </c:pt>
                <c:pt idx="95">
                  <c:v>9.0616340363163447E-3</c:v>
                </c:pt>
                <c:pt idx="96">
                  <c:v>7.9845052158721251E-3</c:v>
                </c:pt>
                <c:pt idx="97">
                  <c:v>4.4299801084062024E-3</c:v>
                </c:pt>
                <c:pt idx="98">
                  <c:v>-2.9230295530475639E-2</c:v>
                </c:pt>
                <c:pt idx="99">
                  <c:v>1.6493822897381452E-2</c:v>
                </c:pt>
                <c:pt idx="100">
                  <c:v>1.5685976282048292E-2</c:v>
                </c:pt>
                <c:pt idx="101">
                  <c:v>-2.8944958706144854E-3</c:v>
                </c:pt>
                <c:pt idx="102">
                  <c:v>5.7225346929392655E-3</c:v>
                </c:pt>
                <c:pt idx="103">
                  <c:v>5.3455396057837884E-3</c:v>
                </c:pt>
                <c:pt idx="104">
                  <c:v>1.1700599646404681E-2</c:v>
                </c:pt>
                <c:pt idx="105">
                  <c:v>2.9257799419645451E-2</c:v>
                </c:pt>
                <c:pt idx="106">
                  <c:v>-1.4781737848172747E-4</c:v>
                </c:pt>
                <c:pt idx="107">
                  <c:v>-6.5028774191026179E-3</c:v>
                </c:pt>
                <c:pt idx="108">
                  <c:v>1.5793689164092711E-2</c:v>
                </c:pt>
                <c:pt idx="109">
                  <c:v>1.8648080538269891E-2</c:v>
                </c:pt>
                <c:pt idx="110">
                  <c:v>-4.6179019833252361E-3</c:v>
                </c:pt>
                <c:pt idx="111">
                  <c:v>-1.2373229490523613E-2</c:v>
                </c:pt>
                <c:pt idx="112">
                  <c:v>-5.7504927067136384E-2</c:v>
                </c:pt>
                <c:pt idx="113">
                  <c:v>7.8767923338277021E-3</c:v>
                </c:pt>
                <c:pt idx="114">
                  <c:v>2.6511120927512691E-2</c:v>
                </c:pt>
                <c:pt idx="115">
                  <c:v>-8.5494221779466341E-3</c:v>
                </c:pt>
                <c:pt idx="116">
                  <c:v>3.4158735552666644E-2</c:v>
                </c:pt>
                <c:pt idx="117">
                  <c:v>1.3208579995026587E-2</c:v>
                </c:pt>
                <c:pt idx="118">
                  <c:v>1.1323604559249204E-2</c:v>
                </c:pt>
                <c:pt idx="119">
                  <c:v>2.1771754117558127E-2</c:v>
                </c:pt>
                <c:pt idx="120">
                  <c:v>-1.167309575723487E-2</c:v>
                </c:pt>
                <c:pt idx="121">
                  <c:v>-2.8745587561275744E-2</c:v>
                </c:pt>
                <c:pt idx="122">
                  <c:v>3.9452721392063041E-3</c:v>
                </c:pt>
                <c:pt idx="123">
                  <c:v>-5.2481246563720451E-4</c:v>
                </c:pt>
                <c:pt idx="124">
                  <c:v>2.3441303789246665E-2</c:v>
                </c:pt>
                <c:pt idx="125">
                  <c:v>7.0689457184945391E-3</c:v>
                </c:pt>
                <c:pt idx="126">
                  <c:v>-1.6843314095367122E-2</c:v>
                </c:pt>
                <c:pt idx="127">
                  <c:v>-1.9428423264433246E-2</c:v>
                </c:pt>
                <c:pt idx="128">
                  <c:v>9.9233370926717183E-3</c:v>
                </c:pt>
                <c:pt idx="129">
                  <c:v>-1.4958338659589737E-2</c:v>
                </c:pt>
                <c:pt idx="130">
                  <c:v>1.360162970140179E-3</c:v>
                </c:pt>
                <c:pt idx="131">
                  <c:v>-1.2788026399481577E-3</c:v>
                </c:pt>
                <c:pt idx="132">
                  <c:v>2.7749819071023543E-2</c:v>
                </c:pt>
                <c:pt idx="133">
                  <c:v>1.7463238835781249E-2</c:v>
                </c:pt>
                <c:pt idx="134">
                  <c:v>2.6527175546732415E-3</c:v>
                </c:pt>
                <c:pt idx="135">
                  <c:v>2.2525744291869078E-2</c:v>
                </c:pt>
                <c:pt idx="136">
                  <c:v>1.627839713329261E-2</c:v>
                </c:pt>
                <c:pt idx="137">
                  <c:v>5.5231635480701468E-4</c:v>
                </c:pt>
                <c:pt idx="138">
                  <c:v>-2.5729626864031928E-2</c:v>
                </c:pt>
                <c:pt idx="139">
                  <c:v>1.9525838213844994E-3</c:v>
                </c:pt>
                <c:pt idx="140">
                  <c:v>1.2146482662932744E-4</c:v>
                </c:pt>
                <c:pt idx="141">
                  <c:v>-2.0720977848966309E-2</c:v>
                </c:pt>
                <c:pt idx="142">
                  <c:v>2.830341496959602E-4</c:v>
                </c:pt>
                <c:pt idx="143">
                  <c:v>1.8163372569069997E-2</c:v>
                </c:pt>
                <c:pt idx="144">
                  <c:v>1.5847545605114921E-2</c:v>
                </c:pt>
                <c:pt idx="145">
                  <c:v>1.8432654774181045E-2</c:v>
                </c:pt>
                <c:pt idx="146">
                  <c:v>7.3920843646278047E-3</c:v>
                </c:pt>
                <c:pt idx="147">
                  <c:v>1.5255124753870601E-2</c:v>
                </c:pt>
                <c:pt idx="148">
                  <c:v>1.5201268312848392E-2</c:v>
                </c:pt>
                <c:pt idx="149">
                  <c:v>-9.5566399381489218E-4</c:v>
                </c:pt>
                <c:pt idx="150">
                  <c:v>2.0586912415069485E-2</c:v>
                </c:pt>
                <c:pt idx="151">
                  <c:v>-4.2409068961697591E-3</c:v>
                </c:pt>
                <c:pt idx="152">
                  <c:v>1.0946609472093726E-2</c:v>
                </c:pt>
                <c:pt idx="153">
                  <c:v>1.360162970140179E-3</c:v>
                </c:pt>
                <c:pt idx="154">
                  <c:v>9.3309162414273988E-3</c:v>
                </c:pt>
                <c:pt idx="155">
                  <c:v>8.792351831205289E-3</c:v>
                </c:pt>
                <c:pt idx="156">
                  <c:v>1.6332253574314823E-2</c:v>
                </c:pt>
                <c:pt idx="157">
                  <c:v>1.337014931809322E-2</c:v>
                </c:pt>
                <c:pt idx="158">
                  <c:v>9.7079113285828758E-3</c:v>
                </c:pt>
                <c:pt idx="159">
                  <c:v>2.381829887640214E-2</c:v>
                </c:pt>
                <c:pt idx="160">
                  <c:v>1.3316292877071008E-2</c:v>
                </c:pt>
                <c:pt idx="161">
                  <c:v>2.1879466999602547E-2</c:v>
                </c:pt>
                <c:pt idx="162">
                  <c:v>2.1233189707336016E-2</c:v>
                </c:pt>
                <c:pt idx="163">
                  <c:v>8.9539211542719217E-3</c:v>
                </c:pt>
                <c:pt idx="164">
                  <c:v>4.4299801084062024E-3</c:v>
                </c:pt>
                <c:pt idx="165">
                  <c:v>-2.4437072279498866E-2</c:v>
                </c:pt>
                <c:pt idx="166">
                  <c:v>-1.4581343572434258E-2</c:v>
                </c:pt>
                <c:pt idx="167">
                  <c:v>4.3222672263617812E-3</c:v>
                </c:pt>
                <c:pt idx="168">
                  <c:v>2.1394759030402652E-2</c:v>
                </c:pt>
                <c:pt idx="169">
                  <c:v>1.3693287964226485E-2</c:v>
                </c:pt>
                <c:pt idx="170">
                  <c:v>1.8217229010092206E-2</c:v>
                </c:pt>
                <c:pt idx="171">
                  <c:v>7.9306487748499153E-3</c:v>
                </c:pt>
                <c:pt idx="172">
                  <c:v>-8.9264172651021111E-3</c:v>
                </c:pt>
                <c:pt idx="173">
                  <c:v>1.6763105102492508E-2</c:v>
                </c:pt>
                <c:pt idx="174">
                  <c:v>9.3847726824496103E-3</c:v>
                </c:pt>
                <c:pt idx="175">
                  <c:v>8.3615003030276022E-3</c:v>
                </c:pt>
                <c:pt idx="176">
                  <c:v>4.589943969550863E-2</c:v>
                </c:pt>
                <c:pt idx="177">
                  <c:v>2.4372917905843977E-3</c:v>
                </c:pt>
                <c:pt idx="178">
                  <c:v>2.3172021584135609E-2</c:v>
                </c:pt>
                <c:pt idx="179">
                  <c:v>1.0569614384938249E-2</c:v>
                </c:pt>
                <c:pt idx="180">
                  <c:v>6.7608385607116368E-5</c:v>
                </c:pt>
                <c:pt idx="181">
                  <c:v>7.9845052158721251E-3</c:v>
                </c:pt>
                <c:pt idx="182">
                  <c:v>3.6759899340952497E-3</c:v>
                </c:pt>
                <c:pt idx="183">
                  <c:v>2.371058599435772E-2</c:v>
                </c:pt>
                <c:pt idx="184">
                  <c:v>9.2770598004051873E-3</c:v>
                </c:pt>
                <c:pt idx="185">
                  <c:v>1.6294451752512334E-3</c:v>
                </c:pt>
                <c:pt idx="186">
                  <c:v>-2.0327928142591109E-3</c:v>
                </c:pt>
                <c:pt idx="187">
                  <c:v>-9.5726945573686422E-3</c:v>
                </c:pt>
                <c:pt idx="188">
                  <c:v>-6.072025890924931E-3</c:v>
                </c:pt>
                <c:pt idx="189">
                  <c:v>1.9294357830536422E-2</c:v>
                </c:pt>
                <c:pt idx="190">
                  <c:v>3.6759899340952497E-3</c:v>
                </c:pt>
                <c:pt idx="191">
                  <c:v>-1.2804081018701301E-2</c:v>
                </c:pt>
                <c:pt idx="192">
                  <c:v>3.4067077289841948E-3</c:v>
                </c:pt>
                <c:pt idx="193">
                  <c:v>-1.3665784075056675E-2</c:v>
                </c:pt>
                <c:pt idx="194">
                  <c:v>6.7608385607116368E-5</c:v>
                </c:pt>
                <c:pt idx="195">
                  <c:v>-2.8476305356164688E-2</c:v>
                </c:pt>
                <c:pt idx="196">
                  <c:v>1.9294357830536422E-2</c:v>
                </c:pt>
                <c:pt idx="197">
                  <c:v>6.2072426621391638E-3</c:v>
                </c:pt>
                <c:pt idx="198">
                  <c:v>5.5609653698726327E-3</c:v>
                </c:pt>
                <c:pt idx="199">
                  <c:v>2.2525744291869078E-2</c:v>
                </c:pt>
                <c:pt idx="200">
                  <c:v>-3.594629603903228E-3</c:v>
                </c:pt>
                <c:pt idx="201">
                  <c:v>2.5003140578890783E-2</c:v>
                </c:pt>
                <c:pt idx="202">
                  <c:v>7.338227923605594E-3</c:v>
                </c:pt>
                <c:pt idx="203">
                  <c:v>1.2939297789915533E-2</c:v>
                </c:pt>
                <c:pt idx="204">
                  <c:v>1.6833016162734445E-3</c:v>
                </c:pt>
                <c:pt idx="205">
                  <c:v>1.0408045061871617E-2</c:v>
                </c:pt>
                <c:pt idx="206">
                  <c:v>3.8375592571618824E-3</c:v>
                </c:pt>
                <c:pt idx="207">
                  <c:v>4.6992623135172574E-3</c:v>
                </c:pt>
                <c:pt idx="208">
                  <c:v>1.1485173882315836E-2</c:v>
                </c:pt>
                <c:pt idx="209">
                  <c:v>2.0586912415069485E-2</c:v>
                </c:pt>
                <c:pt idx="210">
                  <c:v>-1.2249461989259462E-3</c:v>
                </c:pt>
                <c:pt idx="211">
                  <c:v>1.2185307615604579E-2</c:v>
                </c:pt>
                <c:pt idx="212">
                  <c:v>1.3316292877071008E-2</c:v>
                </c:pt>
                <c:pt idx="213">
                  <c:v>1.0031049974716141E-2</c:v>
                </c:pt>
                <c:pt idx="214">
                  <c:v>5.4532524878282106E-3</c:v>
                </c:pt>
                <c:pt idx="215">
                  <c:v>6.8535199544056957E-3</c:v>
                </c:pt>
                <c:pt idx="216">
                  <c:v>7.3920843646278047E-3</c:v>
                </c:pt>
                <c:pt idx="217">
                  <c:v>5.3993960468059999E-3</c:v>
                </c:pt>
                <c:pt idx="218">
                  <c:v>1.8987273803622883E-3</c:v>
                </c:pt>
                <c:pt idx="219">
                  <c:v>4.9685445186283123E-3</c:v>
                </c:pt>
                <c:pt idx="220">
                  <c:v>2.7065739956954526E-3</c:v>
                </c:pt>
                <c:pt idx="221">
                  <c:v>-1.0919105582923918E-2</c:v>
                </c:pt>
                <c:pt idx="222">
                  <c:v>1.0461901502893828E-2</c:v>
                </c:pt>
                <c:pt idx="223">
                  <c:v>7.1388567787364745E-4</c:v>
                </c:pt>
                <c:pt idx="224">
                  <c:v>2.7911388394090172E-2</c:v>
                </c:pt>
                <c:pt idx="225">
                  <c:v>2.7604304367176632E-3</c:v>
                </c:pt>
                <c:pt idx="226">
                  <c:v>1.5578263400003867E-2</c:v>
                </c:pt>
                <c:pt idx="227">
                  <c:v>6.0995297800947416E-3</c:v>
                </c:pt>
                <c:pt idx="228">
                  <c:v>-8.4795111177047005E-4</c:v>
                </c:pt>
                <c:pt idx="229">
                  <c:v>-1.2911793900745721E-2</c:v>
                </c:pt>
                <c:pt idx="230">
                  <c:v>1.3747144405248695E-2</c:v>
                </c:pt>
                <c:pt idx="231">
                  <c:v>-1.5227620864700789E-2</c:v>
                </c:pt>
                <c:pt idx="232">
                  <c:v>1.0354188620849407E-2</c:v>
                </c:pt>
                <c:pt idx="233">
                  <c:v>-3.7023424859476493E-3</c:v>
                </c:pt>
                <c:pt idx="234">
                  <c:v>1.7678664599870095E-2</c:v>
                </c:pt>
                <c:pt idx="235">
                  <c:v>8.1999309799609694E-3</c:v>
                </c:pt>
                <c:pt idx="236">
                  <c:v>8.2537874209831809E-3</c:v>
                </c:pt>
                <c:pt idx="237">
                  <c:v>5.5609653698726327E-3</c:v>
                </c:pt>
                <c:pt idx="238">
                  <c:v>-1.0272828290657387E-2</c:v>
                </c:pt>
                <c:pt idx="239">
                  <c:v>-1.4150492044256573E-2</c:v>
                </c:pt>
                <c:pt idx="240">
                  <c:v>2.2687313614935714E-2</c:v>
                </c:pt>
                <c:pt idx="241">
                  <c:v>4.0529850212507263E-3</c:v>
                </c:pt>
                <c:pt idx="242">
                  <c:v>3.245138405917562E-3</c:v>
                </c:pt>
                <c:pt idx="243">
                  <c:v>8.2537874209831809E-3</c:v>
                </c:pt>
                <c:pt idx="244">
                  <c:v>-5.1564663935473459E-3</c:v>
                </c:pt>
                <c:pt idx="245">
                  <c:v>6.045673339072531E-3</c:v>
                </c:pt>
                <c:pt idx="246">
                  <c:v>2.0209917327914009E-2</c:v>
                </c:pt>
                <c:pt idx="247">
                  <c:v>-7.5261497985246277E-3</c:v>
                </c:pt>
                <c:pt idx="248">
                  <c:v>-4.1331940141253378E-3</c:v>
                </c:pt>
                <c:pt idx="249">
                  <c:v>1.3962570169337539E-2</c:v>
                </c:pt>
                <c:pt idx="250">
                  <c:v>-1.6089323921056171E-2</c:v>
                </c:pt>
                <c:pt idx="251">
                  <c:v>3.8914156981840931E-3</c:v>
                </c:pt>
                <c:pt idx="252">
                  <c:v>1.2562302702760054E-2</c:v>
                </c:pt>
                <c:pt idx="253">
                  <c:v>2.2917770867374914E-4</c:v>
                </c:pt>
                <c:pt idx="254">
                  <c:v>2.921999759784296E-3</c:v>
                </c:pt>
                <c:pt idx="255">
                  <c:v>6.6002923685143681E-4</c:v>
                </c:pt>
                <c:pt idx="256">
                  <c:v>2.8126814158179018E-2</c:v>
                </c:pt>
                <c:pt idx="257">
                  <c:v>8.5230696260942349E-3</c:v>
                </c:pt>
                <c:pt idx="258">
                  <c:v>-2.3559314603923765E-3</c:v>
                </c:pt>
                <c:pt idx="259">
                  <c:v>5.6148218108948433E-3</c:v>
                </c:pt>
                <c:pt idx="260">
                  <c:v>1.4662703902626282E-2</c:v>
                </c:pt>
                <c:pt idx="261">
                  <c:v>2.0586912415069485E-2</c:v>
                </c:pt>
                <c:pt idx="262">
                  <c:v>-1.2249461989259462E-3</c:v>
                </c:pt>
                <c:pt idx="263">
                  <c:v>1.2185307615604579E-2</c:v>
                </c:pt>
                <c:pt idx="264">
                  <c:v>1.3316292877071008E-2</c:v>
                </c:pt>
                <c:pt idx="265">
                  <c:v>1.0031049974716141E-2</c:v>
                </c:pt>
                <c:pt idx="266">
                  <c:v>5.4532524878282106E-3</c:v>
                </c:pt>
                <c:pt idx="267">
                  <c:v>6.8535199544056957E-3</c:v>
                </c:pt>
                <c:pt idx="268">
                  <c:v>7.3920843646278047E-3</c:v>
                </c:pt>
                <c:pt idx="269">
                  <c:v>5.3993960468059999E-3</c:v>
                </c:pt>
                <c:pt idx="270">
                  <c:v>1.8987273803622883E-3</c:v>
                </c:pt>
                <c:pt idx="271">
                  <c:v>4.9685445186283123E-3</c:v>
                </c:pt>
                <c:pt idx="272">
                  <c:v>2.7065739956954526E-3</c:v>
                </c:pt>
                <c:pt idx="273">
                  <c:v>-1.0919105582923918E-2</c:v>
                </c:pt>
                <c:pt idx="274">
                  <c:v>1.0461901502893828E-2</c:v>
                </c:pt>
                <c:pt idx="275">
                  <c:v>7.1388567787364745E-4</c:v>
                </c:pt>
                <c:pt idx="276">
                  <c:v>2.7911388394090172E-2</c:v>
                </c:pt>
                <c:pt idx="277">
                  <c:v>2.7604304367176632E-3</c:v>
                </c:pt>
                <c:pt idx="278">
                  <c:v>1.5578263400003867E-2</c:v>
                </c:pt>
                <c:pt idx="279">
                  <c:v>6.0995297800947416E-3</c:v>
                </c:pt>
                <c:pt idx="280">
                  <c:v>-8.4795111177047005E-4</c:v>
                </c:pt>
                <c:pt idx="281">
                  <c:v>-1.2911793900745721E-2</c:v>
                </c:pt>
                <c:pt idx="282">
                  <c:v>1.3747144405248695E-2</c:v>
                </c:pt>
                <c:pt idx="283">
                  <c:v>-1.5227620864700789E-2</c:v>
                </c:pt>
                <c:pt idx="284">
                  <c:v>1.0354188620849407E-2</c:v>
                </c:pt>
                <c:pt idx="285">
                  <c:v>-3.7023424859476493E-3</c:v>
                </c:pt>
                <c:pt idx="286">
                  <c:v>1.7678664599870095E-2</c:v>
                </c:pt>
                <c:pt idx="287">
                  <c:v>8.1999309799609694E-3</c:v>
                </c:pt>
                <c:pt idx="288">
                  <c:v>8.2537874209831809E-3</c:v>
                </c:pt>
                <c:pt idx="289">
                  <c:v>5.5609653698726327E-3</c:v>
                </c:pt>
                <c:pt idx="290">
                  <c:v>-1.0272828290657387E-2</c:v>
                </c:pt>
                <c:pt idx="291">
                  <c:v>-1.4150492044256573E-2</c:v>
                </c:pt>
                <c:pt idx="292">
                  <c:v>2.2687313614935714E-2</c:v>
                </c:pt>
                <c:pt idx="293">
                  <c:v>4.0529850212507263E-3</c:v>
                </c:pt>
                <c:pt idx="294">
                  <c:v>3.245138405917562E-3</c:v>
                </c:pt>
                <c:pt idx="295">
                  <c:v>8.2537874209831809E-3</c:v>
                </c:pt>
                <c:pt idx="296">
                  <c:v>-5.1564663935473459E-3</c:v>
                </c:pt>
                <c:pt idx="297">
                  <c:v>6.045673339072531E-3</c:v>
                </c:pt>
                <c:pt idx="298">
                  <c:v>2.0209917327914009E-2</c:v>
                </c:pt>
                <c:pt idx="299">
                  <c:v>-7.5261497985246277E-3</c:v>
                </c:pt>
                <c:pt idx="300">
                  <c:v>-4.1331940141253378E-3</c:v>
                </c:pt>
                <c:pt idx="301">
                  <c:v>1.3962570169337539E-2</c:v>
                </c:pt>
                <c:pt idx="302">
                  <c:v>-1.6089323921056171E-2</c:v>
                </c:pt>
                <c:pt idx="303">
                  <c:v>3.8914156981840931E-3</c:v>
                </c:pt>
                <c:pt idx="304">
                  <c:v>1.2562302702760054E-2</c:v>
                </c:pt>
                <c:pt idx="305">
                  <c:v>2.2917770867374914E-4</c:v>
                </c:pt>
                <c:pt idx="306">
                  <c:v>2.921999759784296E-3</c:v>
                </c:pt>
                <c:pt idx="307">
                  <c:v>6.6002923685143681E-4</c:v>
                </c:pt>
                <c:pt idx="308">
                  <c:v>2.8126814158179018E-2</c:v>
                </c:pt>
                <c:pt idx="309">
                  <c:v>8.5230696260942349E-3</c:v>
                </c:pt>
                <c:pt idx="310">
                  <c:v>-2.3559314603923765E-3</c:v>
                </c:pt>
                <c:pt idx="311">
                  <c:v>5.6148218108948433E-3</c:v>
                </c:pt>
                <c:pt idx="312">
                  <c:v>1.4662703902626282E-2</c:v>
                </c:pt>
                <c:pt idx="313">
                  <c:v>9.9233370926717183E-3</c:v>
                </c:pt>
                <c:pt idx="314">
                  <c:v>1.1269748118226992E-2</c:v>
                </c:pt>
                <c:pt idx="315">
                  <c:v>1.0677327266982672E-2</c:v>
                </c:pt>
                <c:pt idx="316">
                  <c:v>5.6148218108948433E-3</c:v>
                </c:pt>
                <c:pt idx="317">
                  <c:v>6.7458070723612727E-3</c:v>
                </c:pt>
                <c:pt idx="318">
                  <c:v>1.9832922240758534E-2</c:v>
                </c:pt>
                <c:pt idx="319">
                  <c:v>8.4153567440498137E-3</c:v>
                </c:pt>
                <c:pt idx="320">
                  <c:v>3.3689059071817084E-4</c:v>
                </c:pt>
                <c:pt idx="321">
                  <c:v>1.0354188620849407E-2</c:v>
                </c:pt>
                <c:pt idx="322">
                  <c:v>2.5703274312179523E-2</c:v>
                </c:pt>
                <c:pt idx="323">
                  <c:v>4.9146880776061008E-3</c:v>
                </c:pt>
                <c:pt idx="324">
                  <c:v>1.6009114928181557E-2</c:v>
                </c:pt>
                <c:pt idx="325">
                  <c:v>-3.9086024237540241E-2</c:v>
                </c:pt>
                <c:pt idx="326">
                  <c:v>-1.2788026399481577E-3</c:v>
                </c:pt>
                <c:pt idx="327">
                  <c:v>2.4033724640490986E-2</c:v>
                </c:pt>
                <c:pt idx="328">
                  <c:v>2.4572289050713098E-2</c:v>
                </c:pt>
                <c:pt idx="329">
                  <c:v>1.0246475738804984E-2</c:v>
                </c:pt>
                <c:pt idx="330">
                  <c:v>1.1377461000271413E-2</c:v>
                </c:pt>
                <c:pt idx="331">
                  <c:v>2.0263773768936219E-2</c:v>
                </c:pt>
                <c:pt idx="332">
                  <c:v>3.245138405917562E-3</c:v>
                </c:pt>
                <c:pt idx="333">
                  <c:v>1.2400733379693423E-2</c:v>
                </c:pt>
                <c:pt idx="334">
                  <c:v>7.2305150415611719E-3</c:v>
                </c:pt>
                <c:pt idx="335">
                  <c:v>1.6294451752512334E-3</c:v>
                </c:pt>
                <c:pt idx="336">
                  <c:v>-6.0181694499027213E-3</c:v>
                </c:pt>
                <c:pt idx="337">
                  <c:v>2.6187982281379425E-2</c:v>
                </c:pt>
                <c:pt idx="338">
                  <c:v>1.5578263400003867E-2</c:v>
                </c:pt>
                <c:pt idx="339">
                  <c:v>1.5578263400003867E-2</c:v>
                </c:pt>
                <c:pt idx="340">
                  <c:v>1.0731183708004882E-2</c:v>
                </c:pt>
                <c:pt idx="341">
                  <c:v>-7.9409467074825942E-4</c:v>
                </c:pt>
                <c:pt idx="342">
                  <c:v>1.4140194111623896E-3</c:v>
                </c:pt>
                <c:pt idx="343">
                  <c:v>3.4051022670622225E-2</c:v>
                </c:pt>
                <c:pt idx="344">
                  <c:v>1.8378798333158836E-2</c:v>
                </c:pt>
                <c:pt idx="345">
                  <c:v>-1.8712234911924782E-3</c:v>
                </c:pt>
                <c:pt idx="346">
                  <c:v>-1.7274165623544807E-2</c:v>
                </c:pt>
                <c:pt idx="347">
                  <c:v>4.1606979032951484E-3</c:v>
                </c:pt>
                <c:pt idx="348">
                  <c:v>1.4339565256493016E-2</c:v>
                </c:pt>
                <c:pt idx="349">
                  <c:v>-4.6179019833252361E-3</c:v>
                </c:pt>
                <c:pt idx="350">
                  <c:v>4.1606979032951484E-3</c:v>
                </c:pt>
                <c:pt idx="351">
                  <c:v>1.5685976282048292E-2</c:v>
                </c:pt>
                <c:pt idx="352">
                  <c:v>1.2454589820715633E-2</c:v>
                </c:pt>
                <c:pt idx="353">
                  <c:v>-2.7506889417764885E-2</c:v>
                </c:pt>
                <c:pt idx="354">
                  <c:v>1.0246475738804984E-2</c:v>
                </c:pt>
                <c:pt idx="355">
                  <c:v>-5.7866890665941514E-4</c:v>
                </c:pt>
                <c:pt idx="356">
                  <c:v>1.5217322932068117E-3</c:v>
                </c:pt>
                <c:pt idx="357">
                  <c:v>2.3441303789246665E-2</c:v>
                </c:pt>
                <c:pt idx="358">
                  <c:v>4.3761236673839918E-3</c:v>
                </c:pt>
                <c:pt idx="359">
                  <c:v>9.3847726824496103E-3</c:v>
                </c:pt>
                <c:pt idx="360">
                  <c:v>9.3847726824496103E-3</c:v>
                </c:pt>
                <c:pt idx="361">
                  <c:v>3.6221334930730386E-3</c:v>
                </c:pt>
                <c:pt idx="362">
                  <c:v>5.8841040160058982E-3</c:v>
                </c:pt>
                <c:pt idx="363">
                  <c:v>7.5536536876944374E-3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59-4EA2-8172-B9BA4B399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74464"/>
        <c:axId val="44875424"/>
      </c:scatterChart>
      <c:valAx>
        <c:axId val="4487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5424"/>
        <c:crosses val="autoZero"/>
        <c:crossBetween val="midCat"/>
      </c:valAx>
      <c:valAx>
        <c:axId val="448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Histor'!$E$2:$E$54</c:f>
              <c:numCache>
                <c:formatCode>0.00%</c:formatCode>
                <c:ptCount val="53"/>
                <c:pt idx="0">
                  <c:v>3.8E-3</c:v>
                </c:pt>
                <c:pt idx="1">
                  <c:v>1.15E-2</c:v>
                </c:pt>
                <c:pt idx="2">
                  <c:v>1.54E-2</c:v>
                </c:pt>
                <c:pt idx="3">
                  <c:v>-3.9800000000000002E-2</c:v>
                </c:pt>
                <c:pt idx="4">
                  <c:v>0</c:v>
                </c:pt>
                <c:pt idx="5">
                  <c:v>1.2500000000000001E-2</c:v>
                </c:pt>
                <c:pt idx="6">
                  <c:v>-3.1699999999999999E-2</c:v>
                </c:pt>
                <c:pt idx="7">
                  <c:v>-0.19339999999999999</c:v>
                </c:pt>
                <c:pt idx="8">
                  <c:v>-4.9399999999999999E-2</c:v>
                </c:pt>
                <c:pt idx="9">
                  <c:v>-0.19389999999999999</c:v>
                </c:pt>
                <c:pt idx="10">
                  <c:v>5.7000000000000002E-3</c:v>
                </c:pt>
                <c:pt idx="11">
                  <c:v>-7.7000000000000002E-3</c:v>
                </c:pt>
                <c:pt idx="12">
                  <c:v>-1.84E-2</c:v>
                </c:pt>
                <c:pt idx="13">
                  <c:v>0.1231</c:v>
                </c:pt>
                <c:pt idx="14">
                  <c:v>-8.9999999999999998E-4</c:v>
                </c:pt>
                <c:pt idx="15">
                  <c:v>-5.9999999999999995E-4</c:v>
                </c:pt>
                <c:pt idx="16">
                  <c:v>3.5999999999999997E-2</c:v>
                </c:pt>
                <c:pt idx="17">
                  <c:v>-3.85E-2</c:v>
                </c:pt>
                <c:pt idx="18">
                  <c:v>-1.7899999999999999E-2</c:v>
                </c:pt>
                <c:pt idx="19">
                  <c:v>2.69E-2</c:v>
                </c:pt>
                <c:pt idx="20">
                  <c:v>7.1199999999999999E-2</c:v>
                </c:pt>
                <c:pt idx="21">
                  <c:v>4.7300000000000002E-2</c:v>
                </c:pt>
                <c:pt idx="22">
                  <c:v>-5.3600000000000002E-2</c:v>
                </c:pt>
                <c:pt idx="23">
                  <c:v>3.3300000000000003E-2</c:v>
                </c:pt>
                <c:pt idx="24">
                  <c:v>-3.95E-2</c:v>
                </c:pt>
                <c:pt idx="25">
                  <c:v>2.5899999999999999E-2</c:v>
                </c:pt>
                <c:pt idx="26">
                  <c:v>-3.8800000000000001E-2</c:v>
                </c:pt>
                <c:pt idx="27">
                  <c:v>1.34E-2</c:v>
                </c:pt>
                <c:pt idx="28">
                  <c:v>-1.12E-2</c:v>
                </c:pt>
                <c:pt idx="29">
                  <c:v>-2.63E-2</c:v>
                </c:pt>
                <c:pt idx="30">
                  <c:v>2.4299999999999999E-2</c:v>
                </c:pt>
                <c:pt idx="31">
                  <c:v>2.8E-3</c:v>
                </c:pt>
                <c:pt idx="32">
                  <c:v>-1.6999999999999999E-3</c:v>
                </c:pt>
                <c:pt idx="33">
                  <c:v>1.9E-3</c:v>
                </c:pt>
                <c:pt idx="34">
                  <c:v>7.6E-3</c:v>
                </c:pt>
                <c:pt idx="35">
                  <c:v>-5.1000000000000004E-3</c:v>
                </c:pt>
                <c:pt idx="36">
                  <c:v>3.5400000000000001E-2</c:v>
                </c:pt>
                <c:pt idx="37">
                  <c:v>-6.1699999999999998E-2</c:v>
                </c:pt>
                <c:pt idx="38">
                  <c:v>1.26E-2</c:v>
                </c:pt>
                <c:pt idx="39">
                  <c:v>4.1200000000000001E-2</c:v>
                </c:pt>
                <c:pt idx="40">
                  <c:v>-4.8000000000000001E-2</c:v>
                </c:pt>
                <c:pt idx="41">
                  <c:v>-1.2699999999999999E-2</c:v>
                </c:pt>
                <c:pt idx="42">
                  <c:v>-6.9900000000000004E-2</c:v>
                </c:pt>
                <c:pt idx="43">
                  <c:v>3.27E-2</c:v>
                </c:pt>
                <c:pt idx="44">
                  <c:v>0.1149</c:v>
                </c:pt>
                <c:pt idx="45">
                  <c:v>6.6799999999999998E-2</c:v>
                </c:pt>
                <c:pt idx="46">
                  <c:v>5.3100000000000001E-2</c:v>
                </c:pt>
                <c:pt idx="47">
                  <c:v>6.5600000000000006E-2</c:v>
                </c:pt>
                <c:pt idx="48">
                  <c:v>-7.4999999999999997E-3</c:v>
                </c:pt>
                <c:pt idx="49">
                  <c:v>2.7E-2</c:v>
                </c:pt>
                <c:pt idx="50">
                  <c:v>-1.5699999999999999E-2</c:v>
                </c:pt>
                <c:pt idx="51">
                  <c:v>2.7300000000000001E-2</c:v>
                </c:pt>
                <c:pt idx="52">
                  <c:v>1.2699999999999999E-2</c:v>
                </c:pt>
              </c:numCache>
            </c:numRef>
          </c:xVal>
          <c:yVal>
            <c:numRef>
              <c:f>'Kri-Kri Milk Stock Price Histor'!$C$2:$C$54</c:f>
              <c:numCache>
                <c:formatCode>0.00%</c:formatCode>
                <c:ptCount val="53"/>
                <c:pt idx="0">
                  <c:v>-2.5399999999999999E-2</c:v>
                </c:pt>
                <c:pt idx="1">
                  <c:v>2.23E-2</c:v>
                </c:pt>
                <c:pt idx="2">
                  <c:v>2.9100000000000001E-2</c:v>
                </c:pt>
                <c:pt idx="3">
                  <c:v>-4.24E-2</c:v>
                </c:pt>
                <c:pt idx="4">
                  <c:v>7.4000000000000003E-3</c:v>
                </c:pt>
                <c:pt idx="5">
                  <c:v>2.1999999999999999E-2</c:v>
                </c:pt>
                <c:pt idx="6">
                  <c:v>-2.87E-2</c:v>
                </c:pt>
                <c:pt idx="7">
                  <c:v>-0.1439</c:v>
                </c:pt>
                <c:pt idx="8">
                  <c:v>-3.4500000000000003E-2</c:v>
                </c:pt>
                <c:pt idx="9">
                  <c:v>-0.1406</c:v>
                </c:pt>
                <c:pt idx="10">
                  <c:v>0.18179999999999999</c:v>
                </c:pt>
                <c:pt idx="11">
                  <c:v>-4.3999999999999997E-2</c:v>
                </c:pt>
                <c:pt idx="12">
                  <c:v>-1.15E-2</c:v>
                </c:pt>
                <c:pt idx="13">
                  <c:v>6.9800000000000001E-2</c:v>
                </c:pt>
                <c:pt idx="14">
                  <c:v>1.09E-2</c:v>
                </c:pt>
                <c:pt idx="15">
                  <c:v>2.58E-2</c:v>
                </c:pt>
                <c:pt idx="16">
                  <c:v>1.89E-2</c:v>
                </c:pt>
                <c:pt idx="17">
                  <c:v>2.47E-2</c:v>
                </c:pt>
                <c:pt idx="18">
                  <c:v>-1.61E-2</c:v>
                </c:pt>
                <c:pt idx="19">
                  <c:v>3.27E-2</c:v>
                </c:pt>
                <c:pt idx="20">
                  <c:v>5.5300000000000002E-2</c:v>
                </c:pt>
                <c:pt idx="21">
                  <c:v>0.1236</c:v>
                </c:pt>
                <c:pt idx="22">
                  <c:v>-8.6699999999999999E-2</c:v>
                </c:pt>
                <c:pt idx="23">
                  <c:v>-1.46E-2</c:v>
                </c:pt>
                <c:pt idx="24">
                  <c:v>5.9299999999999999E-2</c:v>
                </c:pt>
                <c:pt idx="25">
                  <c:v>1.7500000000000002E-2</c:v>
                </c:pt>
                <c:pt idx="26">
                  <c:v>1.37E-2</c:v>
                </c:pt>
                <c:pt idx="27">
                  <c:v>6.7999999999999996E-3</c:v>
                </c:pt>
                <c:pt idx="28">
                  <c:v>-2.0199999999999999E-2</c:v>
                </c:pt>
                <c:pt idx="29">
                  <c:v>-1.37E-2</c:v>
                </c:pt>
                <c:pt idx="30">
                  <c:v>8.7099999999999997E-2</c:v>
                </c:pt>
                <c:pt idx="31">
                  <c:v>-5.45E-2</c:v>
                </c:pt>
                <c:pt idx="32">
                  <c:v>0</c:v>
                </c:pt>
                <c:pt idx="33">
                  <c:v>6.7999999999999996E-3</c:v>
                </c:pt>
                <c:pt idx="34">
                  <c:v>6.7000000000000002E-3</c:v>
                </c:pt>
                <c:pt idx="35">
                  <c:v>-3.0099999999999998E-2</c:v>
                </c:pt>
                <c:pt idx="36">
                  <c:v>4.48E-2</c:v>
                </c:pt>
                <c:pt idx="37">
                  <c:v>-6.6E-3</c:v>
                </c:pt>
                <c:pt idx="38">
                  <c:v>2.3300000000000001E-2</c:v>
                </c:pt>
                <c:pt idx="39">
                  <c:v>6.4899999999999999E-2</c:v>
                </c:pt>
                <c:pt idx="40">
                  <c:v>-3.9600000000000003E-2</c:v>
                </c:pt>
                <c:pt idx="41">
                  <c:v>6.3E-3</c:v>
                </c:pt>
                <c:pt idx="42">
                  <c:v>-2.52E-2</c:v>
                </c:pt>
                <c:pt idx="43">
                  <c:v>1.29E-2</c:v>
                </c:pt>
                <c:pt idx="44">
                  <c:v>6.4000000000000003E-3</c:v>
                </c:pt>
                <c:pt idx="45">
                  <c:v>1.9E-2</c:v>
                </c:pt>
                <c:pt idx="46">
                  <c:v>0</c:v>
                </c:pt>
                <c:pt idx="47">
                  <c:v>-3.0999999999999999E-3</c:v>
                </c:pt>
                <c:pt idx="48">
                  <c:v>0</c:v>
                </c:pt>
                <c:pt idx="49">
                  <c:v>4.0599999999999997E-2</c:v>
                </c:pt>
                <c:pt idx="50">
                  <c:v>-3.3000000000000002E-2</c:v>
                </c:pt>
                <c:pt idx="51">
                  <c:v>1.55E-2</c:v>
                </c:pt>
                <c:pt idx="52">
                  <c:v>9.1999999999999998E-3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6-4B29-93A2-5DCCB28A2E25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Histor'!$E$2:$E$54</c:f>
              <c:numCache>
                <c:formatCode>0.00%</c:formatCode>
                <c:ptCount val="53"/>
                <c:pt idx="0">
                  <c:v>3.8E-3</c:v>
                </c:pt>
                <c:pt idx="1">
                  <c:v>1.15E-2</c:v>
                </c:pt>
                <c:pt idx="2">
                  <c:v>1.54E-2</c:v>
                </c:pt>
                <c:pt idx="3">
                  <c:v>-3.9800000000000002E-2</c:v>
                </c:pt>
                <c:pt idx="4">
                  <c:v>0</c:v>
                </c:pt>
                <c:pt idx="5">
                  <c:v>1.2500000000000001E-2</c:v>
                </c:pt>
                <c:pt idx="6">
                  <c:v>-3.1699999999999999E-2</c:v>
                </c:pt>
                <c:pt idx="7">
                  <c:v>-0.19339999999999999</c:v>
                </c:pt>
                <c:pt idx="8">
                  <c:v>-4.9399999999999999E-2</c:v>
                </c:pt>
                <c:pt idx="9">
                  <c:v>-0.19389999999999999</c:v>
                </c:pt>
                <c:pt idx="10">
                  <c:v>5.7000000000000002E-3</c:v>
                </c:pt>
                <c:pt idx="11">
                  <c:v>-7.7000000000000002E-3</c:v>
                </c:pt>
                <c:pt idx="12">
                  <c:v>-1.84E-2</c:v>
                </c:pt>
                <c:pt idx="13">
                  <c:v>0.1231</c:v>
                </c:pt>
                <c:pt idx="14">
                  <c:v>-8.9999999999999998E-4</c:v>
                </c:pt>
                <c:pt idx="15">
                  <c:v>-5.9999999999999995E-4</c:v>
                </c:pt>
                <c:pt idx="16">
                  <c:v>3.5999999999999997E-2</c:v>
                </c:pt>
                <c:pt idx="17">
                  <c:v>-3.85E-2</c:v>
                </c:pt>
                <c:pt idx="18">
                  <c:v>-1.7899999999999999E-2</c:v>
                </c:pt>
                <c:pt idx="19">
                  <c:v>2.69E-2</c:v>
                </c:pt>
                <c:pt idx="20">
                  <c:v>7.1199999999999999E-2</c:v>
                </c:pt>
                <c:pt idx="21">
                  <c:v>4.7300000000000002E-2</c:v>
                </c:pt>
                <c:pt idx="22">
                  <c:v>-5.3600000000000002E-2</c:v>
                </c:pt>
                <c:pt idx="23">
                  <c:v>3.3300000000000003E-2</c:v>
                </c:pt>
                <c:pt idx="24">
                  <c:v>-3.95E-2</c:v>
                </c:pt>
                <c:pt idx="25">
                  <c:v>2.5899999999999999E-2</c:v>
                </c:pt>
                <c:pt idx="26">
                  <c:v>-3.8800000000000001E-2</c:v>
                </c:pt>
                <c:pt idx="27">
                  <c:v>1.34E-2</c:v>
                </c:pt>
                <c:pt idx="28">
                  <c:v>-1.12E-2</c:v>
                </c:pt>
                <c:pt idx="29">
                  <c:v>-2.63E-2</c:v>
                </c:pt>
                <c:pt idx="30">
                  <c:v>2.4299999999999999E-2</c:v>
                </c:pt>
                <c:pt idx="31">
                  <c:v>2.8E-3</c:v>
                </c:pt>
                <c:pt idx="32">
                  <c:v>-1.6999999999999999E-3</c:v>
                </c:pt>
                <c:pt idx="33">
                  <c:v>1.9E-3</c:v>
                </c:pt>
                <c:pt idx="34">
                  <c:v>7.6E-3</c:v>
                </c:pt>
                <c:pt idx="35">
                  <c:v>-5.1000000000000004E-3</c:v>
                </c:pt>
                <c:pt idx="36">
                  <c:v>3.5400000000000001E-2</c:v>
                </c:pt>
                <c:pt idx="37">
                  <c:v>-6.1699999999999998E-2</c:v>
                </c:pt>
                <c:pt idx="38">
                  <c:v>1.26E-2</c:v>
                </c:pt>
                <c:pt idx="39">
                  <c:v>4.1200000000000001E-2</c:v>
                </c:pt>
                <c:pt idx="40">
                  <c:v>-4.8000000000000001E-2</c:v>
                </c:pt>
                <c:pt idx="41">
                  <c:v>-1.2699999999999999E-2</c:v>
                </c:pt>
                <c:pt idx="42">
                  <c:v>-6.9900000000000004E-2</c:v>
                </c:pt>
                <c:pt idx="43">
                  <c:v>3.27E-2</c:v>
                </c:pt>
                <c:pt idx="44">
                  <c:v>0.1149</c:v>
                </c:pt>
                <c:pt idx="45">
                  <c:v>6.6799999999999998E-2</c:v>
                </c:pt>
                <c:pt idx="46">
                  <c:v>5.3100000000000001E-2</c:v>
                </c:pt>
                <c:pt idx="47">
                  <c:v>6.5600000000000006E-2</c:v>
                </c:pt>
                <c:pt idx="48">
                  <c:v>-7.4999999999999997E-3</c:v>
                </c:pt>
                <c:pt idx="49">
                  <c:v>2.7E-2</c:v>
                </c:pt>
                <c:pt idx="50">
                  <c:v>-1.5699999999999999E-2</c:v>
                </c:pt>
                <c:pt idx="51">
                  <c:v>2.7300000000000001E-2</c:v>
                </c:pt>
                <c:pt idx="52">
                  <c:v>1.2699999999999999E-2</c:v>
                </c:pt>
              </c:numCache>
            </c:numRef>
          </c:xVal>
          <c:yVal>
            <c:numRef>
              <c:f>'Beta 2020'!$B$25:$B$77</c:f>
              <c:numCache>
                <c:formatCode>General</c:formatCode>
                <c:ptCount val="53"/>
                <c:pt idx="0">
                  <c:v>7.4707800977467298E-3</c:v>
                </c:pt>
                <c:pt idx="1">
                  <c:v>1.22627053672002E-2</c:v>
                </c:pt>
                <c:pt idx="2">
                  <c:v>1.46897843997805E-2</c:v>
                </c:pt>
                <c:pt idx="3">
                  <c:v>-1.9662718830587199E-2</c:v>
                </c:pt>
                <c:pt idx="4">
                  <c:v>5.1059338608735799E-3</c:v>
                </c:pt>
                <c:pt idx="5">
                  <c:v>1.2885033324272099E-2</c:v>
                </c:pt>
                <c:pt idx="6">
                  <c:v>-1.4621862378305E-2</c:v>
                </c:pt>
                <c:pt idx="7">
                  <c:v>-0.115252293036828</c:v>
                </c:pt>
                <c:pt idx="8">
                  <c:v>-2.5637067218477302E-2</c:v>
                </c:pt>
                <c:pt idx="9">
                  <c:v>-0.115563457015364</c:v>
                </c:pt>
                <c:pt idx="10">
                  <c:v>8.6532032161833004E-3</c:v>
                </c:pt>
                <c:pt idx="11">
                  <c:v>3.14008591420112E-4</c:v>
                </c:pt>
                <c:pt idx="12">
                  <c:v>-6.3449005492490001E-3</c:v>
                </c:pt>
                <c:pt idx="13">
                  <c:v>8.1714505376421998E-2</c:v>
                </c:pt>
                <c:pt idx="14">
                  <c:v>4.54583869950889E-3</c:v>
                </c:pt>
                <c:pt idx="15">
                  <c:v>4.73253708663046E-3</c:v>
                </c:pt>
                <c:pt idx="16">
                  <c:v>2.75097403154612E-2</c:v>
                </c:pt>
                <c:pt idx="17">
                  <c:v>-1.8853692486393799E-2</c:v>
                </c:pt>
                <c:pt idx="18">
                  <c:v>-6.0337365707130598E-3</c:v>
                </c:pt>
                <c:pt idx="19">
                  <c:v>2.1846555906107099E-2</c:v>
                </c:pt>
                <c:pt idx="20">
                  <c:v>4.9415684404391397E-2</c:v>
                </c:pt>
                <c:pt idx="21">
                  <c:v>3.4542046230373498E-2</c:v>
                </c:pt>
                <c:pt idx="22">
                  <c:v>-2.8250844638179201E-2</c:v>
                </c:pt>
                <c:pt idx="23">
                  <c:v>2.5829454831367199E-2</c:v>
                </c:pt>
                <c:pt idx="24">
                  <c:v>-1.9476020443465698E-2</c:v>
                </c:pt>
                <c:pt idx="25">
                  <c:v>2.12242279490353E-2</c:v>
                </c:pt>
                <c:pt idx="26">
                  <c:v>-1.9040390873515299E-2</c:v>
                </c:pt>
                <c:pt idx="27">
                  <c:v>1.3445128485636801E-2</c:v>
                </c:pt>
                <c:pt idx="28">
                  <c:v>-1.86413925833147E-3</c:v>
                </c:pt>
                <c:pt idx="29">
                  <c:v>-1.12612914101168E-2</c:v>
                </c:pt>
                <c:pt idx="30">
                  <c:v>2.0228503217720298E-2</c:v>
                </c:pt>
                <c:pt idx="31">
                  <c:v>6.8484521406748499E-3</c:v>
                </c:pt>
                <c:pt idx="32">
                  <c:v>4.0479763338513901E-3</c:v>
                </c:pt>
                <c:pt idx="33">
                  <c:v>6.28835697931016E-3</c:v>
                </c:pt>
                <c:pt idx="34">
                  <c:v>9.8356263346198701E-3</c:v>
                </c:pt>
                <c:pt idx="35">
                  <c:v>1.9320612798069999E-3</c:v>
                </c:pt>
                <c:pt idx="36">
                  <c:v>2.7136343541218098E-2</c:v>
                </c:pt>
                <c:pt idx="37">
                  <c:v>-3.3291701090461402E-2</c:v>
                </c:pt>
                <c:pt idx="38">
                  <c:v>1.29472661199793E-2</c:v>
                </c:pt>
                <c:pt idx="39">
                  <c:v>3.0745845692234999E-2</c:v>
                </c:pt>
                <c:pt idx="40">
                  <c:v>-2.47658080785766E-2</c:v>
                </c:pt>
                <c:pt idx="41">
                  <c:v>-2.7976311939392801E-3</c:v>
                </c:pt>
                <c:pt idx="42">
                  <c:v>-3.83947903384508E-2</c:v>
                </c:pt>
                <c:pt idx="43">
                  <c:v>2.5456058057124E-2</c:v>
                </c:pt>
                <c:pt idx="44">
                  <c:v>7.6611416128432502E-2</c:v>
                </c:pt>
                <c:pt idx="45">
                  <c:v>4.66774413932751E-2</c:v>
                </c:pt>
                <c:pt idx="46">
                  <c:v>3.8151548381390399E-2</c:v>
                </c:pt>
                <c:pt idx="47">
                  <c:v>4.5930647844788897E-2</c:v>
                </c:pt>
                <c:pt idx="48">
                  <c:v>4.38474182834488E-4</c:v>
                </c:pt>
                <c:pt idx="49">
                  <c:v>2.19087887018143E-2</c:v>
                </c:pt>
                <c:pt idx="50">
                  <c:v>-4.6646150651549201E-3</c:v>
                </c:pt>
                <c:pt idx="51">
                  <c:v>2.2095487088935901E-2</c:v>
                </c:pt>
                <c:pt idx="52">
                  <c:v>1.30094989156865E-2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06-4B29-93A2-5DCCB28A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02912"/>
        <c:axId val="994807712"/>
      </c:scatterChart>
      <c:valAx>
        <c:axId val="99480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07712"/>
        <c:crosses val="autoZero"/>
        <c:crossBetween val="midCat"/>
      </c:valAx>
      <c:valAx>
        <c:axId val="9948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0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600154-86f9-4d3f-ba32-4b8469989cd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Histor'!$E$54:$E$105</c:f>
              <c:numCache>
                <c:formatCode>0.00%</c:formatCode>
                <c:ptCount val="52"/>
                <c:pt idx="0">
                  <c:v>1.2699999999999999E-2</c:v>
                </c:pt>
                <c:pt idx="1">
                  <c:v>-3.56E-2</c:v>
                </c:pt>
                <c:pt idx="2">
                  <c:v>-1.41E-2</c:v>
                </c:pt>
                <c:pt idx="3">
                  <c:v>-3.7900000000000003E-2</c:v>
                </c:pt>
                <c:pt idx="4">
                  <c:v>2.0199999999999999E-2</c:v>
                </c:pt>
                <c:pt idx="5">
                  <c:v>1.4999999999999999E-2</c:v>
                </c:pt>
                <c:pt idx="6">
                  <c:v>6.8999999999999999E-3</c:v>
                </c:pt>
                <c:pt idx="7">
                  <c:v>1.4E-2</c:v>
                </c:pt>
                <c:pt idx="8">
                  <c:v>4.1200000000000001E-2</c:v>
                </c:pt>
                <c:pt idx="9">
                  <c:v>0.03</c:v>
                </c:pt>
                <c:pt idx="10">
                  <c:v>-1.9699999999999999E-2</c:v>
                </c:pt>
                <c:pt idx="11">
                  <c:v>2.2499999999999999E-2</c:v>
                </c:pt>
                <c:pt idx="12">
                  <c:v>2.75E-2</c:v>
                </c:pt>
                <c:pt idx="13">
                  <c:v>1.8800000000000001E-2</c:v>
                </c:pt>
                <c:pt idx="14">
                  <c:v>7.7999999999999996E-3</c:v>
                </c:pt>
                <c:pt idx="15">
                  <c:v>1.1000000000000001E-3</c:v>
                </c:pt>
                <c:pt idx="16">
                  <c:v>1.2E-2</c:v>
                </c:pt>
                <c:pt idx="17">
                  <c:v>-1.47E-2</c:v>
                </c:pt>
                <c:pt idx="18">
                  <c:v>1.12E-2</c:v>
                </c:pt>
                <c:pt idx="19">
                  <c:v>-4.36E-2</c:v>
                </c:pt>
                <c:pt idx="20">
                  <c:v>2.3099999999999999E-2</c:v>
                </c:pt>
                <c:pt idx="21">
                  <c:v>1.5800000000000002E-2</c:v>
                </c:pt>
                <c:pt idx="22">
                  <c:v>2.69E-2</c:v>
                </c:pt>
                <c:pt idx="23">
                  <c:v>-2.1899999999999999E-2</c:v>
                </c:pt>
                <c:pt idx="24">
                  <c:v>2.3999999999999998E-3</c:v>
                </c:pt>
                <c:pt idx="25">
                  <c:v>-2.3199999999999998E-2</c:v>
                </c:pt>
                <c:pt idx="26">
                  <c:v>-1.4E-2</c:v>
                </c:pt>
                <c:pt idx="27">
                  <c:v>-8.5000000000000006E-3</c:v>
                </c:pt>
                <c:pt idx="28">
                  <c:v>-2.7000000000000001E-3</c:v>
                </c:pt>
                <c:pt idx="29">
                  <c:v>2.76E-2</c:v>
                </c:pt>
                <c:pt idx="30">
                  <c:v>5.8999999999999999E-3</c:v>
                </c:pt>
                <c:pt idx="31">
                  <c:v>2E-3</c:v>
                </c:pt>
                <c:pt idx="32">
                  <c:v>-1.3599999999999999E-2</c:v>
                </c:pt>
                <c:pt idx="33">
                  <c:v>3.5400000000000001E-2</c:v>
                </c:pt>
                <c:pt idx="34">
                  <c:v>6.9999999999999999E-4</c:v>
                </c:pt>
                <c:pt idx="35">
                  <c:v>-1.52E-2</c:v>
                </c:pt>
                <c:pt idx="36">
                  <c:v>1.2999999999999999E-2</c:v>
                </c:pt>
                <c:pt idx="37">
                  <c:v>-4.3499999999999997E-2</c:v>
                </c:pt>
                <c:pt idx="38">
                  <c:v>-2.3E-3</c:v>
                </c:pt>
                <c:pt idx="39">
                  <c:v>2.47E-2</c:v>
                </c:pt>
                <c:pt idx="40">
                  <c:v>2.3999999999999998E-3</c:v>
                </c:pt>
                <c:pt idx="41">
                  <c:v>1.15E-2</c:v>
                </c:pt>
                <c:pt idx="42">
                  <c:v>-7.7000000000000002E-3</c:v>
                </c:pt>
                <c:pt idx="43">
                  <c:v>9.7999999999999997E-3</c:v>
                </c:pt>
                <c:pt idx="44">
                  <c:v>7.7999999999999996E-3</c:v>
                </c:pt>
                <c:pt idx="45">
                  <c:v>1.1999999999999999E-3</c:v>
                </c:pt>
                <c:pt idx="46">
                  <c:v>-6.13E-2</c:v>
                </c:pt>
                <c:pt idx="47">
                  <c:v>2.3599999999999999E-2</c:v>
                </c:pt>
                <c:pt idx="48">
                  <c:v>2.2100000000000002E-2</c:v>
                </c:pt>
                <c:pt idx="49">
                  <c:v>-1.24E-2</c:v>
                </c:pt>
                <c:pt idx="50">
                  <c:v>3.5999999999999999E-3</c:v>
                </c:pt>
                <c:pt idx="51">
                  <c:v>2.8999999999999998E-3</c:v>
                </c:pt>
              </c:numCache>
            </c:numRef>
          </c:xVal>
          <c:yVal>
            <c:numRef>
              <c:f>'Kri-Kri Milk Stock Price Histor'!$C$54:$C$105</c:f>
              <c:numCache>
                <c:formatCode>0.00%</c:formatCode>
                <c:ptCount val="52"/>
                <c:pt idx="0">
                  <c:v>9.1999999999999998E-3</c:v>
                </c:pt>
                <c:pt idx="1">
                  <c:v>0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4.2000000000000003E-2</c:v>
                </c:pt>
                <c:pt idx="5">
                  <c:v>2.3099999999999999E-2</c:v>
                </c:pt>
                <c:pt idx="6">
                  <c:v>-1.41E-2</c:v>
                </c:pt>
                <c:pt idx="7">
                  <c:v>0.04</c:v>
                </c:pt>
                <c:pt idx="8">
                  <c:v>-2.7000000000000001E-3</c:v>
                </c:pt>
                <c:pt idx="9">
                  <c:v>0</c:v>
                </c:pt>
                <c:pt idx="10">
                  <c:v>1.9300000000000001E-2</c:v>
                </c:pt>
                <c:pt idx="11">
                  <c:v>8.0999999999999996E-3</c:v>
                </c:pt>
                <c:pt idx="12">
                  <c:v>3.2199999999999999E-2</c:v>
                </c:pt>
                <c:pt idx="13">
                  <c:v>7.7999999999999996E-3</c:v>
                </c:pt>
                <c:pt idx="14">
                  <c:v>-2.06E-2</c:v>
                </c:pt>
                <c:pt idx="15">
                  <c:v>-1.32E-2</c:v>
                </c:pt>
                <c:pt idx="16">
                  <c:v>2.93E-2</c:v>
                </c:pt>
                <c:pt idx="17">
                  <c:v>-1.55E-2</c:v>
                </c:pt>
                <c:pt idx="18">
                  <c:v>-1.84E-2</c:v>
                </c:pt>
                <c:pt idx="19">
                  <c:v>-2.7000000000000001E-3</c:v>
                </c:pt>
                <c:pt idx="20">
                  <c:v>2.69E-2</c:v>
                </c:pt>
                <c:pt idx="21">
                  <c:v>1.3100000000000001E-2</c:v>
                </c:pt>
                <c:pt idx="22">
                  <c:v>2.07E-2</c:v>
                </c:pt>
                <c:pt idx="23">
                  <c:v>1.77E-2</c:v>
                </c:pt>
                <c:pt idx="24">
                  <c:v>5.7200000000000001E-2</c:v>
                </c:pt>
                <c:pt idx="25">
                  <c:v>3.5299999999999998E-2</c:v>
                </c:pt>
                <c:pt idx="26">
                  <c:v>-1.8200000000000001E-2</c:v>
                </c:pt>
                <c:pt idx="27">
                  <c:v>-4.5999999999999999E-3</c:v>
                </c:pt>
                <c:pt idx="28">
                  <c:v>7.0000000000000001E-3</c:v>
                </c:pt>
                <c:pt idx="29">
                  <c:v>1.6199999999999999E-2</c:v>
                </c:pt>
                <c:pt idx="30">
                  <c:v>-6.7999999999999996E-3</c:v>
                </c:pt>
                <c:pt idx="31">
                  <c:v>-3.4299999999999997E-2</c:v>
                </c:pt>
                <c:pt idx="32">
                  <c:v>7.1000000000000004E-3</c:v>
                </c:pt>
                <c:pt idx="33">
                  <c:v>0</c:v>
                </c:pt>
                <c:pt idx="34">
                  <c:v>2.3999999999999998E-3</c:v>
                </c:pt>
                <c:pt idx="35">
                  <c:v>-3.7600000000000001E-2</c:v>
                </c:pt>
                <c:pt idx="36">
                  <c:v>2.1999999999999999E-2</c:v>
                </c:pt>
                <c:pt idx="37">
                  <c:v>-8.8300000000000003E-2</c:v>
                </c:pt>
                <c:pt idx="38">
                  <c:v>-1.0500000000000001E-2</c:v>
                </c:pt>
                <c:pt idx="39">
                  <c:v>1.8499999999999999E-2</c:v>
                </c:pt>
                <c:pt idx="40">
                  <c:v>3.3799999999999997E-2</c:v>
                </c:pt>
                <c:pt idx="41">
                  <c:v>4.2700000000000002E-2</c:v>
                </c:pt>
                <c:pt idx="42">
                  <c:v>-3.8600000000000002E-2</c:v>
                </c:pt>
                <c:pt idx="43">
                  <c:v>-2.5000000000000001E-3</c:v>
                </c:pt>
                <c:pt idx="44">
                  <c:v>4.02E-2</c:v>
                </c:pt>
                <c:pt idx="45">
                  <c:v>-2.3999999999999998E-3</c:v>
                </c:pt>
                <c:pt idx="46">
                  <c:v>-2.4199999999999999E-2</c:v>
                </c:pt>
                <c:pt idx="47">
                  <c:v>2.98E-2</c:v>
                </c:pt>
                <c:pt idx="48">
                  <c:v>-2.41E-2</c:v>
                </c:pt>
                <c:pt idx="49">
                  <c:v>-4.8999999999999998E-3</c:v>
                </c:pt>
                <c:pt idx="50">
                  <c:v>5.4600000000000003E-2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9-4159-A37A-19ABC6439FF8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Histor'!$E$54:$E$105</c:f>
              <c:numCache>
                <c:formatCode>0.00%</c:formatCode>
                <c:ptCount val="52"/>
                <c:pt idx="0">
                  <c:v>1.2699999999999999E-2</c:v>
                </c:pt>
                <c:pt idx="1">
                  <c:v>-3.56E-2</c:v>
                </c:pt>
                <c:pt idx="2">
                  <c:v>-1.41E-2</c:v>
                </c:pt>
                <c:pt idx="3">
                  <c:v>-3.7900000000000003E-2</c:v>
                </c:pt>
                <c:pt idx="4">
                  <c:v>2.0199999999999999E-2</c:v>
                </c:pt>
                <c:pt idx="5">
                  <c:v>1.4999999999999999E-2</c:v>
                </c:pt>
                <c:pt idx="6">
                  <c:v>6.8999999999999999E-3</c:v>
                </c:pt>
                <c:pt idx="7">
                  <c:v>1.4E-2</c:v>
                </c:pt>
                <c:pt idx="8">
                  <c:v>4.1200000000000001E-2</c:v>
                </c:pt>
                <c:pt idx="9">
                  <c:v>0.03</c:v>
                </c:pt>
                <c:pt idx="10">
                  <c:v>-1.9699999999999999E-2</c:v>
                </c:pt>
                <c:pt idx="11">
                  <c:v>2.2499999999999999E-2</c:v>
                </c:pt>
                <c:pt idx="12">
                  <c:v>2.75E-2</c:v>
                </c:pt>
                <c:pt idx="13">
                  <c:v>1.8800000000000001E-2</c:v>
                </c:pt>
                <c:pt idx="14">
                  <c:v>7.7999999999999996E-3</c:v>
                </c:pt>
                <c:pt idx="15">
                  <c:v>1.1000000000000001E-3</c:v>
                </c:pt>
                <c:pt idx="16">
                  <c:v>1.2E-2</c:v>
                </c:pt>
                <c:pt idx="17">
                  <c:v>-1.47E-2</c:v>
                </c:pt>
                <c:pt idx="18">
                  <c:v>1.12E-2</c:v>
                </c:pt>
                <c:pt idx="19">
                  <c:v>-4.36E-2</c:v>
                </c:pt>
                <c:pt idx="20">
                  <c:v>2.3099999999999999E-2</c:v>
                </c:pt>
                <c:pt idx="21">
                  <c:v>1.5800000000000002E-2</c:v>
                </c:pt>
                <c:pt idx="22">
                  <c:v>2.69E-2</c:v>
                </c:pt>
                <c:pt idx="23">
                  <c:v>-2.1899999999999999E-2</c:v>
                </c:pt>
                <c:pt idx="24">
                  <c:v>2.3999999999999998E-3</c:v>
                </c:pt>
                <c:pt idx="25">
                  <c:v>-2.3199999999999998E-2</c:v>
                </c:pt>
                <c:pt idx="26">
                  <c:v>-1.4E-2</c:v>
                </c:pt>
                <c:pt idx="27">
                  <c:v>-8.5000000000000006E-3</c:v>
                </c:pt>
                <c:pt idx="28">
                  <c:v>-2.7000000000000001E-3</c:v>
                </c:pt>
                <c:pt idx="29">
                  <c:v>2.76E-2</c:v>
                </c:pt>
                <c:pt idx="30">
                  <c:v>5.8999999999999999E-3</c:v>
                </c:pt>
                <c:pt idx="31">
                  <c:v>2E-3</c:v>
                </c:pt>
                <c:pt idx="32">
                  <c:v>-1.3599999999999999E-2</c:v>
                </c:pt>
                <c:pt idx="33">
                  <c:v>3.5400000000000001E-2</c:v>
                </c:pt>
                <c:pt idx="34">
                  <c:v>6.9999999999999999E-4</c:v>
                </c:pt>
                <c:pt idx="35">
                  <c:v>-1.52E-2</c:v>
                </c:pt>
                <c:pt idx="36">
                  <c:v>1.2999999999999999E-2</c:v>
                </c:pt>
                <c:pt idx="37">
                  <c:v>-4.3499999999999997E-2</c:v>
                </c:pt>
                <c:pt idx="38">
                  <c:v>-2.3E-3</c:v>
                </c:pt>
                <c:pt idx="39">
                  <c:v>2.47E-2</c:v>
                </c:pt>
                <c:pt idx="40">
                  <c:v>2.3999999999999998E-3</c:v>
                </c:pt>
                <c:pt idx="41">
                  <c:v>1.15E-2</c:v>
                </c:pt>
                <c:pt idx="42">
                  <c:v>-7.7000000000000002E-3</c:v>
                </c:pt>
                <c:pt idx="43">
                  <c:v>9.7999999999999997E-3</c:v>
                </c:pt>
                <c:pt idx="44">
                  <c:v>7.7999999999999996E-3</c:v>
                </c:pt>
                <c:pt idx="45">
                  <c:v>1.1999999999999999E-3</c:v>
                </c:pt>
                <c:pt idx="46">
                  <c:v>-6.13E-2</c:v>
                </c:pt>
                <c:pt idx="47">
                  <c:v>2.3599999999999999E-2</c:v>
                </c:pt>
                <c:pt idx="48">
                  <c:v>2.2100000000000002E-2</c:v>
                </c:pt>
                <c:pt idx="49">
                  <c:v>-1.24E-2</c:v>
                </c:pt>
                <c:pt idx="50">
                  <c:v>3.5999999999999999E-3</c:v>
                </c:pt>
                <c:pt idx="51">
                  <c:v>2.8999999999999998E-3</c:v>
                </c:pt>
              </c:numCache>
            </c:numRef>
          </c:xVal>
          <c:yVal>
            <c:numRef>
              <c:f>'Beta 2021'!$B$25:$B$76</c:f>
              <c:numCache>
                <c:formatCode>General</c:formatCode>
                <c:ptCount val="52"/>
                <c:pt idx="0">
                  <c:v>1.0244995081777499E-2</c:v>
                </c:pt>
                <c:pt idx="1">
                  <c:v>-1.19025999043651E-2</c:v>
                </c:pt>
                <c:pt idx="2">
                  <c:v>-2.0439396103265001E-3</c:v>
                </c:pt>
                <c:pt idx="3">
                  <c:v>-1.2957247284657599E-2</c:v>
                </c:pt>
                <c:pt idx="4">
                  <c:v>1.36840626262096E-2</c:v>
                </c:pt>
                <c:pt idx="5">
                  <c:v>1.1299642462070001E-2</c:v>
                </c:pt>
                <c:pt idx="6">
                  <c:v>7.5854495140833299E-3</c:v>
                </c:pt>
                <c:pt idx="7">
                  <c:v>1.08411001228124E-2</c:v>
                </c:pt>
                <c:pt idx="8">
                  <c:v>2.3313451750619399E-2</c:v>
                </c:pt>
                <c:pt idx="9">
                  <c:v>1.81777775509341E-2</c:v>
                </c:pt>
                <c:pt idx="10">
                  <c:v>-4.6117767101691203E-3</c:v>
                </c:pt>
                <c:pt idx="11">
                  <c:v>1.47387100065021E-2</c:v>
                </c:pt>
                <c:pt idx="12">
                  <c:v>1.7031421702790098E-2</c:v>
                </c:pt>
                <c:pt idx="13">
                  <c:v>1.3042103351248901E-2</c:v>
                </c:pt>
                <c:pt idx="14">
                  <c:v>7.9981376194151708E-3</c:v>
                </c:pt>
                <c:pt idx="15">
                  <c:v>4.9259039463891803E-3</c:v>
                </c:pt>
                <c:pt idx="16">
                  <c:v>9.9240154442971403E-3</c:v>
                </c:pt>
                <c:pt idx="17">
                  <c:v>-2.3190650138810698E-3</c:v>
                </c:pt>
                <c:pt idx="18">
                  <c:v>9.5571815728910502E-3</c:v>
                </c:pt>
                <c:pt idx="19">
                  <c:v>-1.5570938618426001E-2</c:v>
                </c:pt>
                <c:pt idx="20">
                  <c:v>1.5013835410056599E-2</c:v>
                </c:pt>
                <c:pt idx="21">
                  <c:v>1.1666476333476099E-2</c:v>
                </c:pt>
                <c:pt idx="22">
                  <c:v>1.6756296299235501E-2</c:v>
                </c:pt>
                <c:pt idx="23">
                  <c:v>-5.6205698565358697E-3</c:v>
                </c:pt>
                <c:pt idx="24">
                  <c:v>5.5220089874240801E-3</c:v>
                </c:pt>
                <c:pt idx="25">
                  <c:v>-6.2166748975707601E-3</c:v>
                </c:pt>
                <c:pt idx="26">
                  <c:v>-1.9980853764007401E-3</c:v>
                </c:pt>
                <c:pt idx="27">
                  <c:v>5.2389748951611704E-4</c:v>
                </c:pt>
                <c:pt idx="28">
                  <c:v>3.1834430572102602E-3</c:v>
                </c:pt>
                <c:pt idx="29">
                  <c:v>1.7077275936715899E-2</c:v>
                </c:pt>
                <c:pt idx="30">
                  <c:v>7.1269071748257104E-3</c:v>
                </c:pt>
                <c:pt idx="31">
                  <c:v>5.3385920517210299E-3</c:v>
                </c:pt>
                <c:pt idx="32">
                  <c:v>-1.8146684406977001E-3</c:v>
                </c:pt>
                <c:pt idx="33">
                  <c:v>2.0653906182925199E-2</c:v>
                </c:pt>
                <c:pt idx="34">
                  <c:v>4.7424870106861404E-3</c:v>
                </c:pt>
                <c:pt idx="35">
                  <c:v>-2.54833618350988E-3</c:v>
                </c:pt>
                <c:pt idx="36">
                  <c:v>1.03825577835548E-2</c:v>
                </c:pt>
                <c:pt idx="37">
                  <c:v>-1.5525084384500299E-2</c:v>
                </c:pt>
                <c:pt idx="38">
                  <c:v>3.3668599929133E-3</c:v>
                </c:pt>
                <c:pt idx="39">
                  <c:v>1.57475031528688E-2</c:v>
                </c:pt>
                <c:pt idx="40">
                  <c:v>5.5220089874240801E-3</c:v>
                </c:pt>
                <c:pt idx="41">
                  <c:v>9.6947442746683297E-3</c:v>
                </c:pt>
                <c:pt idx="42">
                  <c:v>8.9073136092220496E-4</c:v>
                </c:pt>
                <c:pt idx="43">
                  <c:v>8.9152222979303995E-3</c:v>
                </c:pt>
                <c:pt idx="44">
                  <c:v>7.9981376194151708E-3</c:v>
                </c:pt>
                <c:pt idx="45">
                  <c:v>4.9717581803149398E-3</c:v>
                </c:pt>
                <c:pt idx="46">
                  <c:v>-2.36871380232857E-2</c:v>
                </c:pt>
                <c:pt idx="47">
                  <c:v>1.52431065796854E-2</c:v>
                </c:pt>
                <c:pt idx="48">
                  <c:v>1.4555293070799001E-2</c:v>
                </c:pt>
                <c:pt idx="49">
                  <c:v>-1.2644176335885699E-3</c:v>
                </c:pt>
                <c:pt idx="50">
                  <c:v>6.07225979453321E-3</c:v>
                </c:pt>
                <c:pt idx="51">
                  <c:v>5.7512801570528804E-3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9-4159-A37A-19ABC643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02912"/>
        <c:axId val="994803392"/>
      </c:scatterChart>
      <c:valAx>
        <c:axId val="99480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03392"/>
        <c:crosses val="autoZero"/>
        <c:crossBetween val="midCat"/>
      </c:valAx>
      <c:valAx>
        <c:axId val="9948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0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0c509d-8f0e-49e6-ad54-e520ab085a7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Histor'!$E$106:$E$157</c:f>
              <c:numCache>
                <c:formatCode>0.00%</c:formatCode>
                <c:ptCount val="52"/>
                <c:pt idx="0">
                  <c:v>1.47E-2</c:v>
                </c:pt>
                <c:pt idx="1">
                  <c:v>4.7300000000000002E-2</c:v>
                </c:pt>
                <c:pt idx="2">
                  <c:v>-7.3000000000000001E-3</c:v>
                </c:pt>
                <c:pt idx="3">
                  <c:v>-1.9099999999999999E-2</c:v>
                </c:pt>
                <c:pt idx="4">
                  <c:v>2.23E-2</c:v>
                </c:pt>
                <c:pt idx="5">
                  <c:v>2.76E-2</c:v>
                </c:pt>
                <c:pt idx="6">
                  <c:v>-1.5599999999999999E-2</c:v>
                </c:pt>
                <c:pt idx="7">
                  <c:v>-0.03</c:v>
                </c:pt>
                <c:pt idx="8">
                  <c:v>-0.1138</c:v>
                </c:pt>
                <c:pt idx="9">
                  <c:v>7.6E-3</c:v>
                </c:pt>
                <c:pt idx="10">
                  <c:v>4.2200000000000001E-2</c:v>
                </c:pt>
                <c:pt idx="11">
                  <c:v>-2.29E-2</c:v>
                </c:pt>
                <c:pt idx="12">
                  <c:v>5.6399999999999999E-2</c:v>
                </c:pt>
                <c:pt idx="13">
                  <c:v>1.7500000000000002E-2</c:v>
                </c:pt>
                <c:pt idx="14">
                  <c:v>1.4E-2</c:v>
                </c:pt>
                <c:pt idx="15">
                  <c:v>3.3399999999999999E-2</c:v>
                </c:pt>
                <c:pt idx="16">
                  <c:v>-2.87E-2</c:v>
                </c:pt>
                <c:pt idx="17">
                  <c:v>-6.0400000000000002E-2</c:v>
                </c:pt>
                <c:pt idx="18">
                  <c:v>2.9999999999999997E-4</c:v>
                </c:pt>
                <c:pt idx="19">
                  <c:v>-8.0000000000000002E-3</c:v>
                </c:pt>
                <c:pt idx="20">
                  <c:v>3.6499999999999998E-2</c:v>
                </c:pt>
                <c:pt idx="21">
                  <c:v>6.1000000000000004E-3</c:v>
                </c:pt>
                <c:pt idx="22">
                  <c:v>-3.8300000000000001E-2</c:v>
                </c:pt>
                <c:pt idx="23">
                  <c:v>-4.3099999999999999E-2</c:v>
                </c:pt>
                <c:pt idx="24">
                  <c:v>1.14E-2</c:v>
                </c:pt>
                <c:pt idx="25">
                  <c:v>-3.4799999999999998E-2</c:v>
                </c:pt>
                <c:pt idx="26">
                  <c:v>-4.4999999999999997E-3</c:v>
                </c:pt>
                <c:pt idx="27">
                  <c:v>-9.4000000000000004E-3</c:v>
                </c:pt>
                <c:pt idx="28">
                  <c:v>4.4499999999999998E-2</c:v>
                </c:pt>
                <c:pt idx="29">
                  <c:v>2.5399999999999999E-2</c:v>
                </c:pt>
                <c:pt idx="30">
                  <c:v>-2.0999999999999999E-3</c:v>
                </c:pt>
                <c:pt idx="31">
                  <c:v>3.4799999999999998E-2</c:v>
                </c:pt>
                <c:pt idx="32">
                  <c:v>2.3199999999999998E-2</c:v>
                </c:pt>
                <c:pt idx="33">
                  <c:v>-6.0000000000000001E-3</c:v>
                </c:pt>
                <c:pt idx="34">
                  <c:v>-5.4800000000000001E-2</c:v>
                </c:pt>
                <c:pt idx="35">
                  <c:v>-3.3999999999999998E-3</c:v>
                </c:pt>
                <c:pt idx="36">
                  <c:v>-6.7999999999999996E-3</c:v>
                </c:pt>
                <c:pt idx="37">
                  <c:v>-4.5499999999999999E-2</c:v>
                </c:pt>
                <c:pt idx="38">
                  <c:v>-6.4999999999999997E-3</c:v>
                </c:pt>
                <c:pt idx="39">
                  <c:v>2.6700000000000002E-2</c:v>
                </c:pt>
                <c:pt idx="40">
                  <c:v>2.24E-2</c:v>
                </c:pt>
                <c:pt idx="41">
                  <c:v>2.7199999999999998E-2</c:v>
                </c:pt>
                <c:pt idx="42">
                  <c:v>6.7000000000000002E-3</c:v>
                </c:pt>
                <c:pt idx="43">
                  <c:v>2.1299999999999999E-2</c:v>
                </c:pt>
                <c:pt idx="44">
                  <c:v>2.12E-2</c:v>
                </c:pt>
                <c:pt idx="45">
                  <c:v>-8.8000000000000005E-3</c:v>
                </c:pt>
                <c:pt idx="46">
                  <c:v>3.1199999999999999E-2</c:v>
                </c:pt>
                <c:pt idx="47">
                  <c:v>-1.49E-2</c:v>
                </c:pt>
                <c:pt idx="48">
                  <c:v>1.3299999999999999E-2</c:v>
                </c:pt>
                <c:pt idx="49">
                  <c:v>-4.4999999999999997E-3</c:v>
                </c:pt>
                <c:pt idx="50">
                  <c:v>1.03E-2</c:v>
                </c:pt>
                <c:pt idx="51">
                  <c:v>9.2999999999999992E-3</c:v>
                </c:pt>
              </c:numCache>
            </c:numRef>
          </c:xVal>
          <c:yVal>
            <c:numRef>
              <c:f>'Kri-Kri Milk Stock Price Histor'!$C$106:$C$157</c:f>
              <c:numCache>
                <c:formatCode>0.00%</c:formatCode>
                <c:ptCount val="52"/>
                <c:pt idx="0">
                  <c:v>-9.4000000000000004E-3</c:v>
                </c:pt>
                <c:pt idx="1">
                  <c:v>4.7999999999999996E-3</c:v>
                </c:pt>
                <c:pt idx="2">
                  <c:v>-2.8400000000000002E-2</c:v>
                </c:pt>
                <c:pt idx="3">
                  <c:v>9.7000000000000003E-3</c:v>
                </c:pt>
                <c:pt idx="4">
                  <c:v>9.5999999999999992E-3</c:v>
                </c:pt>
                <c:pt idx="5">
                  <c:v>-2.1499999999999998E-2</c:v>
                </c:pt>
                <c:pt idx="6">
                  <c:v>-2.6800000000000001E-2</c:v>
                </c:pt>
                <c:pt idx="7">
                  <c:v>-4.7600000000000003E-2</c:v>
                </c:pt>
                <c:pt idx="8">
                  <c:v>-1.32E-2</c:v>
                </c:pt>
                <c:pt idx="9">
                  <c:v>-1.6E-2</c:v>
                </c:pt>
                <c:pt idx="10">
                  <c:v>1.3599999999999999E-2</c:v>
                </c:pt>
                <c:pt idx="11">
                  <c:v>-4.2799999999999998E-2</c:v>
                </c:pt>
                <c:pt idx="12">
                  <c:v>4.7500000000000001E-2</c:v>
                </c:pt>
                <c:pt idx="13">
                  <c:v>-3.73E-2</c:v>
                </c:pt>
                <c:pt idx="14">
                  <c:v>4.4299999999999999E-2</c:v>
                </c:pt>
                <c:pt idx="15">
                  <c:v>-3.4500000000000003E-2</c:v>
                </c:pt>
                <c:pt idx="16">
                  <c:v>-3.85E-2</c:v>
                </c:pt>
                <c:pt idx="17">
                  <c:v>-7.1400000000000005E-2</c:v>
                </c:pt>
                <c:pt idx="18">
                  <c:v>-6.1999999999999998E-3</c:v>
                </c:pt>
                <c:pt idx="19">
                  <c:v>-9.2999999999999992E-3</c:v>
                </c:pt>
                <c:pt idx="20">
                  <c:v>6.1999999999999998E-3</c:v>
                </c:pt>
                <c:pt idx="21">
                  <c:v>-6.83E-2</c:v>
                </c:pt>
                <c:pt idx="22">
                  <c:v>-6.7000000000000002E-3</c:v>
                </c:pt>
                <c:pt idx="23">
                  <c:v>-4.0300000000000002E-2</c:v>
                </c:pt>
                <c:pt idx="24">
                  <c:v>-1.0500000000000001E-2</c:v>
                </c:pt>
                <c:pt idx="25">
                  <c:v>-2.8299999999999999E-2</c:v>
                </c:pt>
                <c:pt idx="26">
                  <c:v>1.8200000000000001E-2</c:v>
                </c:pt>
                <c:pt idx="27">
                  <c:v>4.2900000000000001E-2</c:v>
                </c:pt>
                <c:pt idx="28">
                  <c:v>1.03E-2</c:v>
                </c:pt>
                <c:pt idx="29">
                  <c:v>-3.39E-2</c:v>
                </c:pt>
                <c:pt idx="30">
                  <c:v>4.9099999999999998E-2</c:v>
                </c:pt>
                <c:pt idx="31">
                  <c:v>-3.3E-3</c:v>
                </c:pt>
                <c:pt idx="32">
                  <c:v>1.6799999999999999E-2</c:v>
                </c:pt>
                <c:pt idx="33">
                  <c:v>-2.3099999999999999E-2</c:v>
                </c:pt>
                <c:pt idx="34">
                  <c:v>-3.7199999999999997E-2</c:v>
                </c:pt>
                <c:pt idx="35">
                  <c:v>-6.6699999999999995E-2</c:v>
                </c:pt>
                <c:pt idx="36">
                  <c:v>7.4999999999999997E-3</c:v>
                </c:pt>
                <c:pt idx="37">
                  <c:v>-5.2200000000000003E-2</c:v>
                </c:pt>
                <c:pt idx="38">
                  <c:v>-3.8999999999999998E-3</c:v>
                </c:pt>
                <c:pt idx="39">
                  <c:v>8.6999999999999994E-2</c:v>
                </c:pt>
                <c:pt idx="40">
                  <c:v>-1.4500000000000001E-2</c:v>
                </c:pt>
                <c:pt idx="41">
                  <c:v>-1.11E-2</c:v>
                </c:pt>
                <c:pt idx="42">
                  <c:v>1.12E-2</c:v>
                </c:pt>
                <c:pt idx="43">
                  <c:v>-3.7000000000000002E-3</c:v>
                </c:pt>
                <c:pt idx="44">
                  <c:v>6.6699999999999995E-2</c:v>
                </c:pt>
                <c:pt idx="45">
                  <c:v>-1.04E-2</c:v>
                </c:pt>
                <c:pt idx="46">
                  <c:v>8.0699999999999994E-2</c:v>
                </c:pt>
                <c:pt idx="47">
                  <c:v>-4.5499999999999999E-2</c:v>
                </c:pt>
                <c:pt idx="48">
                  <c:v>2.0400000000000001E-2</c:v>
                </c:pt>
                <c:pt idx="49">
                  <c:v>0.06</c:v>
                </c:pt>
                <c:pt idx="50">
                  <c:v>-6.3E-3</c:v>
                </c:pt>
                <c:pt idx="51">
                  <c:v>-1.9E-2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D-4400-8F1A-79BFEFCE1E96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Histor'!$E$106:$E$157</c:f>
              <c:numCache>
                <c:formatCode>0.00%</c:formatCode>
                <c:ptCount val="52"/>
                <c:pt idx="0">
                  <c:v>1.47E-2</c:v>
                </c:pt>
                <c:pt idx="1">
                  <c:v>4.7300000000000002E-2</c:v>
                </c:pt>
                <c:pt idx="2">
                  <c:v>-7.3000000000000001E-3</c:v>
                </c:pt>
                <c:pt idx="3">
                  <c:v>-1.9099999999999999E-2</c:v>
                </c:pt>
                <c:pt idx="4">
                  <c:v>2.23E-2</c:v>
                </c:pt>
                <c:pt idx="5">
                  <c:v>2.76E-2</c:v>
                </c:pt>
                <c:pt idx="6">
                  <c:v>-1.5599999999999999E-2</c:v>
                </c:pt>
                <c:pt idx="7">
                  <c:v>-0.03</c:v>
                </c:pt>
                <c:pt idx="8">
                  <c:v>-0.1138</c:v>
                </c:pt>
                <c:pt idx="9">
                  <c:v>7.6E-3</c:v>
                </c:pt>
                <c:pt idx="10">
                  <c:v>4.2200000000000001E-2</c:v>
                </c:pt>
                <c:pt idx="11">
                  <c:v>-2.29E-2</c:v>
                </c:pt>
                <c:pt idx="12">
                  <c:v>5.6399999999999999E-2</c:v>
                </c:pt>
                <c:pt idx="13">
                  <c:v>1.7500000000000002E-2</c:v>
                </c:pt>
                <c:pt idx="14">
                  <c:v>1.4E-2</c:v>
                </c:pt>
                <c:pt idx="15">
                  <c:v>3.3399999999999999E-2</c:v>
                </c:pt>
                <c:pt idx="16">
                  <c:v>-2.87E-2</c:v>
                </c:pt>
                <c:pt idx="17">
                  <c:v>-6.0400000000000002E-2</c:v>
                </c:pt>
                <c:pt idx="18">
                  <c:v>2.9999999999999997E-4</c:v>
                </c:pt>
                <c:pt idx="19">
                  <c:v>-8.0000000000000002E-3</c:v>
                </c:pt>
                <c:pt idx="20">
                  <c:v>3.6499999999999998E-2</c:v>
                </c:pt>
                <c:pt idx="21">
                  <c:v>6.1000000000000004E-3</c:v>
                </c:pt>
                <c:pt idx="22">
                  <c:v>-3.8300000000000001E-2</c:v>
                </c:pt>
                <c:pt idx="23">
                  <c:v>-4.3099999999999999E-2</c:v>
                </c:pt>
                <c:pt idx="24">
                  <c:v>1.14E-2</c:v>
                </c:pt>
                <c:pt idx="25">
                  <c:v>-3.4799999999999998E-2</c:v>
                </c:pt>
                <c:pt idx="26">
                  <c:v>-4.4999999999999997E-3</c:v>
                </c:pt>
                <c:pt idx="27">
                  <c:v>-9.4000000000000004E-3</c:v>
                </c:pt>
                <c:pt idx="28">
                  <c:v>4.4499999999999998E-2</c:v>
                </c:pt>
                <c:pt idx="29">
                  <c:v>2.5399999999999999E-2</c:v>
                </c:pt>
                <c:pt idx="30">
                  <c:v>-2.0999999999999999E-3</c:v>
                </c:pt>
                <c:pt idx="31">
                  <c:v>3.4799999999999998E-2</c:v>
                </c:pt>
                <c:pt idx="32">
                  <c:v>2.3199999999999998E-2</c:v>
                </c:pt>
                <c:pt idx="33">
                  <c:v>-6.0000000000000001E-3</c:v>
                </c:pt>
                <c:pt idx="34">
                  <c:v>-5.4800000000000001E-2</c:v>
                </c:pt>
                <c:pt idx="35">
                  <c:v>-3.3999999999999998E-3</c:v>
                </c:pt>
                <c:pt idx="36">
                  <c:v>-6.7999999999999996E-3</c:v>
                </c:pt>
                <c:pt idx="37">
                  <c:v>-4.5499999999999999E-2</c:v>
                </c:pt>
                <c:pt idx="38">
                  <c:v>-6.4999999999999997E-3</c:v>
                </c:pt>
                <c:pt idx="39">
                  <c:v>2.6700000000000002E-2</c:v>
                </c:pt>
                <c:pt idx="40">
                  <c:v>2.24E-2</c:v>
                </c:pt>
                <c:pt idx="41">
                  <c:v>2.7199999999999998E-2</c:v>
                </c:pt>
                <c:pt idx="42">
                  <c:v>6.7000000000000002E-3</c:v>
                </c:pt>
                <c:pt idx="43">
                  <c:v>2.1299999999999999E-2</c:v>
                </c:pt>
                <c:pt idx="44">
                  <c:v>2.12E-2</c:v>
                </c:pt>
                <c:pt idx="45">
                  <c:v>-8.8000000000000005E-3</c:v>
                </c:pt>
                <c:pt idx="46">
                  <c:v>3.1199999999999999E-2</c:v>
                </c:pt>
                <c:pt idx="47">
                  <c:v>-1.49E-2</c:v>
                </c:pt>
                <c:pt idx="48">
                  <c:v>1.3299999999999999E-2</c:v>
                </c:pt>
                <c:pt idx="49">
                  <c:v>-4.4999999999999997E-3</c:v>
                </c:pt>
                <c:pt idx="50">
                  <c:v>1.03E-2</c:v>
                </c:pt>
                <c:pt idx="51">
                  <c:v>9.2999999999999992E-3</c:v>
                </c:pt>
              </c:numCache>
            </c:numRef>
          </c:xVal>
          <c:yVal>
            <c:numRef>
              <c:f>'Beta 2022'!$B$25:$B$76</c:f>
              <c:numCache>
                <c:formatCode>General</c:formatCode>
                <c:ptCount val="52"/>
                <c:pt idx="0">
                  <c:v>1.21373802172073E-3</c:v>
                </c:pt>
                <c:pt idx="1">
                  <c:v>1.72811517229528E-2</c:v>
                </c:pt>
                <c:pt idx="2">
                  <c:v>-9.6293018993561397E-3</c:v>
                </c:pt>
                <c:pt idx="3">
                  <c:v>-1.5445114220660999E-2</c:v>
                </c:pt>
                <c:pt idx="4">
                  <c:v>4.9595154490018403E-3</c:v>
                </c:pt>
                <c:pt idx="5">
                  <c:v>7.5717023390794499E-3</c:v>
                </c:pt>
                <c:pt idx="6">
                  <c:v>-1.37200851423079E-2</c:v>
                </c:pt>
                <c:pt idx="7">
                  <c:v>-2.0817347636103701E-2</c:v>
                </c:pt>
                <c:pt idx="8">
                  <c:v>-6.21194724263874E-2</c:v>
                </c:pt>
                <c:pt idx="9">
                  <c:v>-2.2856066800813501E-3</c:v>
                </c:pt>
                <c:pt idx="10">
                  <c:v>1.4767537923066801E-2</c:v>
                </c:pt>
                <c:pt idx="11">
                  <c:v>-1.73180029343016E-2</c:v>
                </c:pt>
                <c:pt idx="12">
                  <c:v>2.1766227326670998E-2</c:v>
                </c:pt>
                <c:pt idx="13">
                  <c:v>2.5937612844032501E-3</c:v>
                </c:pt>
                <c:pt idx="14">
                  <c:v>8.6873220605010503E-4</c:v>
                </c:pt>
                <c:pt idx="15">
                  <c:v>1.04303219546361E-2</c:v>
                </c:pt>
                <c:pt idx="16">
                  <c:v>-2.0176622549858199E-2</c:v>
                </c:pt>
                <c:pt idx="17">
                  <c:v>-3.5800457345228097E-2</c:v>
                </c:pt>
                <c:pt idx="18">
                  <c:v>-5.8835244720750399E-3</c:v>
                </c:pt>
                <c:pt idx="19">
                  <c:v>-9.9743077150267704E-3</c:v>
                </c:pt>
                <c:pt idx="20">
                  <c:v>1.1958204852606E-2</c:v>
                </c:pt>
                <c:pt idx="21">
                  <c:v>-3.0249048565184102E-3</c:v>
                </c:pt>
                <c:pt idx="22">
                  <c:v>-2.4908130879055398E-2</c:v>
                </c:pt>
                <c:pt idx="23">
                  <c:v>-2.7273885043653998E-2</c:v>
                </c:pt>
                <c:pt idx="24">
                  <c:v>-4.1271796644079799E-4</c:v>
                </c:pt>
                <c:pt idx="25">
                  <c:v>-2.31831018007022E-2</c:v>
                </c:pt>
                <c:pt idx="26">
                  <c:v>-8.2492786366736293E-3</c:v>
                </c:pt>
                <c:pt idx="27">
                  <c:v>-1.0664319346368E-2</c:v>
                </c:pt>
                <c:pt idx="28">
                  <c:v>1.5901128460270302E-2</c:v>
                </c:pt>
                <c:pt idx="29">
                  <c:v>6.4873983469717596E-3</c:v>
                </c:pt>
                <c:pt idx="30">
                  <c:v>-7.0664015543743398E-3</c:v>
                </c:pt>
                <c:pt idx="31">
                  <c:v>1.1120333585977299E-2</c:v>
                </c:pt>
                <c:pt idx="32">
                  <c:v>5.4030943548640702E-3</c:v>
                </c:pt>
                <c:pt idx="33">
                  <c:v>-8.9885768131106897E-3</c:v>
                </c:pt>
                <c:pt idx="34">
                  <c:v>-3.3040410819863003E-2</c:v>
                </c:pt>
                <c:pt idx="35">
                  <c:v>-7.7071266406197898E-3</c:v>
                </c:pt>
                <c:pt idx="36">
                  <c:v>-9.38286917387713E-3</c:v>
                </c:pt>
                <c:pt idx="37">
                  <c:v>-2.84567621259533E-2</c:v>
                </c:pt>
                <c:pt idx="38">
                  <c:v>-9.2350095385897099E-3</c:v>
                </c:pt>
                <c:pt idx="39">
                  <c:v>7.1281234332172096E-3</c:v>
                </c:pt>
                <c:pt idx="40">
                  <c:v>5.0088019940976404E-3</c:v>
                </c:pt>
                <c:pt idx="41">
                  <c:v>7.3745561586962298E-3</c:v>
                </c:pt>
                <c:pt idx="42">
                  <c:v>-2.7291855859435899E-3</c:v>
                </c:pt>
                <c:pt idx="43">
                  <c:v>4.4666499980438E-3</c:v>
                </c:pt>
                <c:pt idx="44">
                  <c:v>4.4173634529479904E-3</c:v>
                </c:pt>
                <c:pt idx="45">
                  <c:v>-1.03686000757932E-2</c:v>
                </c:pt>
                <c:pt idx="46">
                  <c:v>9.3460179625283902E-3</c:v>
                </c:pt>
                <c:pt idx="47">
                  <c:v>-1.33750793266372E-2</c:v>
                </c:pt>
                <c:pt idx="48">
                  <c:v>5.2372639037947697E-4</c:v>
                </c:pt>
                <c:pt idx="49">
                  <c:v>-8.2492786366736293E-3</c:v>
                </c:pt>
                <c:pt idx="50">
                  <c:v>-9.5486996249464205E-4</c:v>
                </c:pt>
                <c:pt idx="51">
                  <c:v>-1.44773541345268E-3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9D-4400-8F1A-79BFEFCE1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10112"/>
        <c:axId val="994804352"/>
      </c:scatterChart>
      <c:valAx>
        <c:axId val="99481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04352"/>
        <c:crosses val="autoZero"/>
        <c:crossBetween val="midCat"/>
      </c:valAx>
      <c:valAx>
        <c:axId val="9948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1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b8e135-8b14-4483-8c2e-6db068da672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Histor'!$E$158:$E$210</c:f>
              <c:numCache>
                <c:formatCode>0.00%</c:formatCode>
                <c:ptCount val="53"/>
                <c:pt idx="0">
                  <c:v>2.3300000000000001E-2</c:v>
                </c:pt>
                <c:pt idx="1">
                  <c:v>1.78E-2</c:v>
                </c:pt>
                <c:pt idx="2">
                  <c:v>1.0999999999999999E-2</c:v>
                </c:pt>
                <c:pt idx="3">
                  <c:v>3.7199999999999997E-2</c:v>
                </c:pt>
                <c:pt idx="4">
                  <c:v>1.77E-2</c:v>
                </c:pt>
                <c:pt idx="5">
                  <c:v>3.3599999999999998E-2</c:v>
                </c:pt>
                <c:pt idx="6">
                  <c:v>3.2399999999999998E-2</c:v>
                </c:pt>
                <c:pt idx="7">
                  <c:v>9.5999999999999992E-3</c:v>
                </c:pt>
                <c:pt idx="8">
                  <c:v>1.1999999999999999E-3</c:v>
                </c:pt>
                <c:pt idx="9">
                  <c:v>-5.2400000000000002E-2</c:v>
                </c:pt>
                <c:pt idx="10">
                  <c:v>-3.4099999999999998E-2</c:v>
                </c:pt>
                <c:pt idx="11">
                  <c:v>1E-3</c:v>
                </c:pt>
                <c:pt idx="12">
                  <c:v>3.27E-2</c:v>
                </c:pt>
                <c:pt idx="13">
                  <c:v>1.84E-2</c:v>
                </c:pt>
                <c:pt idx="14">
                  <c:v>2.6800000000000001E-2</c:v>
                </c:pt>
                <c:pt idx="15">
                  <c:v>7.7000000000000002E-3</c:v>
                </c:pt>
                <c:pt idx="16">
                  <c:v>-2.3599999999999999E-2</c:v>
                </c:pt>
                <c:pt idx="17">
                  <c:v>2.41E-2</c:v>
                </c:pt>
                <c:pt idx="18">
                  <c:v>1.04E-2</c:v>
                </c:pt>
                <c:pt idx="19">
                  <c:v>8.5000000000000006E-3</c:v>
                </c:pt>
                <c:pt idx="20">
                  <c:v>7.8200000000000006E-2</c:v>
                </c:pt>
                <c:pt idx="21">
                  <c:v>-2.5000000000000001E-3</c:v>
                </c:pt>
                <c:pt idx="22">
                  <c:v>3.5999999999999997E-2</c:v>
                </c:pt>
                <c:pt idx="23">
                  <c:v>1.26E-2</c:v>
                </c:pt>
                <c:pt idx="24">
                  <c:v>-6.8999999999999999E-3</c:v>
                </c:pt>
                <c:pt idx="25">
                  <c:v>7.7999999999999996E-3</c:v>
                </c:pt>
                <c:pt idx="26">
                  <c:v>-2.0000000000000001E-4</c:v>
                </c:pt>
                <c:pt idx="27">
                  <c:v>3.6999999999999998E-2</c:v>
                </c:pt>
                <c:pt idx="28">
                  <c:v>1.0200000000000001E-2</c:v>
                </c:pt>
                <c:pt idx="29">
                  <c:v>-4.0000000000000001E-3</c:v>
                </c:pt>
                <c:pt idx="30">
                  <c:v>-1.0800000000000001E-2</c:v>
                </c:pt>
                <c:pt idx="31">
                  <c:v>-2.4799999999999999E-2</c:v>
                </c:pt>
                <c:pt idx="32">
                  <c:v>-1.83E-2</c:v>
                </c:pt>
                <c:pt idx="33">
                  <c:v>2.8799999999999999E-2</c:v>
                </c:pt>
                <c:pt idx="34">
                  <c:v>-2.0000000000000001E-4</c:v>
                </c:pt>
                <c:pt idx="35">
                  <c:v>-3.0800000000000001E-2</c:v>
                </c:pt>
                <c:pt idx="36">
                  <c:v>-6.9999999999999999E-4</c:v>
                </c:pt>
                <c:pt idx="37">
                  <c:v>-3.2399999999999998E-2</c:v>
                </c:pt>
                <c:pt idx="38">
                  <c:v>-6.8999999999999999E-3</c:v>
                </c:pt>
                <c:pt idx="39">
                  <c:v>-5.9900000000000002E-2</c:v>
                </c:pt>
                <c:pt idx="40">
                  <c:v>2.8799999999999999E-2</c:v>
                </c:pt>
                <c:pt idx="41">
                  <c:v>4.4999999999999997E-3</c:v>
                </c:pt>
                <c:pt idx="42">
                  <c:v>3.3E-3</c:v>
                </c:pt>
                <c:pt idx="43">
                  <c:v>3.4799999999999998E-2</c:v>
                </c:pt>
                <c:pt idx="44">
                  <c:v>-1.37E-2</c:v>
                </c:pt>
                <c:pt idx="45">
                  <c:v>3.9399999999999998E-2</c:v>
                </c:pt>
                <c:pt idx="46">
                  <c:v>6.6E-3</c:v>
                </c:pt>
                <c:pt idx="47">
                  <c:v>1.7000000000000001E-2</c:v>
                </c:pt>
                <c:pt idx="48">
                  <c:v>-3.8999999999999998E-3</c:v>
                </c:pt>
                <c:pt idx="49">
                  <c:v>1.23E-2</c:v>
                </c:pt>
                <c:pt idx="50">
                  <c:v>1E-4</c:v>
                </c:pt>
                <c:pt idx="51">
                  <c:v>1.6999999999999999E-3</c:v>
                </c:pt>
                <c:pt idx="52">
                  <c:v>1.43E-2</c:v>
                </c:pt>
              </c:numCache>
            </c:numRef>
          </c:xVal>
          <c:yVal>
            <c:numRef>
              <c:f>'Kri-Kri Milk Stock Price Histor'!$C$158:$C$210</c:f>
              <c:numCache>
                <c:formatCode>0.00%</c:formatCode>
                <c:ptCount val="53"/>
                <c:pt idx="0">
                  <c:v>4.5199999999999997E-2</c:v>
                </c:pt>
                <c:pt idx="1">
                  <c:v>3.0999999999999999E-3</c:v>
                </c:pt>
                <c:pt idx="2">
                  <c:v>-9.1999999999999998E-3</c:v>
                </c:pt>
                <c:pt idx="3">
                  <c:v>-4.9700000000000001E-2</c:v>
                </c:pt>
                <c:pt idx="4">
                  <c:v>1.3100000000000001E-2</c:v>
                </c:pt>
                <c:pt idx="5">
                  <c:v>-1.61E-2</c:v>
                </c:pt>
                <c:pt idx="6">
                  <c:v>1.9699999999999999E-2</c:v>
                </c:pt>
                <c:pt idx="7">
                  <c:v>1.9300000000000001E-2</c:v>
                </c:pt>
                <c:pt idx="8">
                  <c:v>6.3E-3</c:v>
                </c:pt>
                <c:pt idx="9">
                  <c:v>3.1300000000000001E-2</c:v>
                </c:pt>
                <c:pt idx="10">
                  <c:v>-7.2900000000000006E-2</c:v>
                </c:pt>
                <c:pt idx="11">
                  <c:v>4.9200000000000001E-2</c:v>
                </c:pt>
                <c:pt idx="12">
                  <c:v>-9.4000000000000004E-3</c:v>
                </c:pt>
                <c:pt idx="13">
                  <c:v>-3.2000000000000002E-3</c:v>
                </c:pt>
                <c:pt idx="14">
                  <c:v>2.8500000000000001E-2</c:v>
                </c:pt>
                <c:pt idx="15">
                  <c:v>-6.1999999999999998E-3</c:v>
                </c:pt>
                <c:pt idx="16">
                  <c:v>2.1700000000000001E-2</c:v>
                </c:pt>
                <c:pt idx="17">
                  <c:v>4.8500000000000001E-2</c:v>
                </c:pt>
                <c:pt idx="18">
                  <c:v>2.5999999999999999E-2</c:v>
                </c:pt>
                <c:pt idx="19">
                  <c:v>1.1299999999999999E-2</c:v>
                </c:pt>
                <c:pt idx="20">
                  <c:v>0.13650000000000001</c:v>
                </c:pt>
                <c:pt idx="21">
                  <c:v>-1.9599999999999999E-2</c:v>
                </c:pt>
                <c:pt idx="22">
                  <c:v>7.4999999999999997E-3</c:v>
                </c:pt>
                <c:pt idx="23">
                  <c:v>-1.24E-2</c:v>
                </c:pt>
                <c:pt idx="24">
                  <c:v>-2.5000000000000001E-3</c:v>
                </c:pt>
                <c:pt idx="25">
                  <c:v>2.5000000000000001E-3</c:v>
                </c:pt>
                <c:pt idx="26">
                  <c:v>2.5000000000000001E-3</c:v>
                </c:pt>
                <c:pt idx="27">
                  <c:v>3.0099999999999998E-2</c:v>
                </c:pt>
                <c:pt idx="28">
                  <c:v>1.7000000000000001E-2</c:v>
                </c:pt>
                <c:pt idx="29">
                  <c:v>2.87E-2</c:v>
                </c:pt>
                <c:pt idx="30">
                  <c:v>0</c:v>
                </c:pt>
                <c:pt idx="31">
                  <c:v>-3.0200000000000001E-2</c:v>
                </c:pt>
                <c:pt idx="32">
                  <c:v>-1.6799999999999999E-2</c:v>
                </c:pt>
                <c:pt idx="33">
                  <c:v>2.4400000000000002E-2</c:v>
                </c:pt>
                <c:pt idx="34">
                  <c:v>-1.67E-2</c:v>
                </c:pt>
                <c:pt idx="35">
                  <c:v>-4.5999999999999999E-2</c:v>
                </c:pt>
                <c:pt idx="36">
                  <c:v>-1.0200000000000001E-2</c:v>
                </c:pt>
                <c:pt idx="37">
                  <c:v>2.5999999999999999E-3</c:v>
                </c:pt>
                <c:pt idx="38">
                  <c:v>6.3899999999999998E-2</c:v>
                </c:pt>
                <c:pt idx="39">
                  <c:v>-1.44E-2</c:v>
                </c:pt>
                <c:pt idx="40">
                  <c:v>-3.4099999999999998E-2</c:v>
                </c:pt>
                <c:pt idx="41">
                  <c:v>2.2700000000000001E-2</c:v>
                </c:pt>
                <c:pt idx="42">
                  <c:v>-2.5000000000000001E-3</c:v>
                </c:pt>
                <c:pt idx="43">
                  <c:v>5.0000000000000001E-3</c:v>
                </c:pt>
                <c:pt idx="44">
                  <c:v>5.4199999999999998E-2</c:v>
                </c:pt>
                <c:pt idx="45">
                  <c:v>-7.0000000000000001E-3</c:v>
                </c:pt>
                <c:pt idx="46">
                  <c:v>5.6500000000000002E-2</c:v>
                </c:pt>
                <c:pt idx="47">
                  <c:v>5.1200000000000002E-2</c:v>
                </c:pt>
                <c:pt idx="48">
                  <c:v>-2.0999999999999999E-3</c:v>
                </c:pt>
                <c:pt idx="49">
                  <c:v>8.5000000000000006E-3</c:v>
                </c:pt>
                <c:pt idx="50">
                  <c:v>4.1999999999999997E-3</c:v>
                </c:pt>
                <c:pt idx="51">
                  <c:v>4.1999999999999997E-3</c:v>
                </c:pt>
                <c:pt idx="52">
                  <c:v>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2-4D8B-847E-19EF9AF70193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Histor'!$E$158:$E$210</c:f>
              <c:numCache>
                <c:formatCode>0.00%</c:formatCode>
                <c:ptCount val="53"/>
                <c:pt idx="0">
                  <c:v>2.3300000000000001E-2</c:v>
                </c:pt>
                <c:pt idx="1">
                  <c:v>1.78E-2</c:v>
                </c:pt>
                <c:pt idx="2">
                  <c:v>1.0999999999999999E-2</c:v>
                </c:pt>
                <c:pt idx="3">
                  <c:v>3.7199999999999997E-2</c:v>
                </c:pt>
                <c:pt idx="4">
                  <c:v>1.77E-2</c:v>
                </c:pt>
                <c:pt idx="5">
                  <c:v>3.3599999999999998E-2</c:v>
                </c:pt>
                <c:pt idx="6">
                  <c:v>3.2399999999999998E-2</c:v>
                </c:pt>
                <c:pt idx="7">
                  <c:v>9.5999999999999992E-3</c:v>
                </c:pt>
                <c:pt idx="8">
                  <c:v>1.1999999999999999E-3</c:v>
                </c:pt>
                <c:pt idx="9">
                  <c:v>-5.2400000000000002E-2</c:v>
                </c:pt>
                <c:pt idx="10">
                  <c:v>-3.4099999999999998E-2</c:v>
                </c:pt>
                <c:pt idx="11">
                  <c:v>1E-3</c:v>
                </c:pt>
                <c:pt idx="12">
                  <c:v>3.27E-2</c:v>
                </c:pt>
                <c:pt idx="13">
                  <c:v>1.84E-2</c:v>
                </c:pt>
                <c:pt idx="14">
                  <c:v>2.6800000000000001E-2</c:v>
                </c:pt>
                <c:pt idx="15">
                  <c:v>7.7000000000000002E-3</c:v>
                </c:pt>
                <c:pt idx="16">
                  <c:v>-2.3599999999999999E-2</c:v>
                </c:pt>
                <c:pt idx="17">
                  <c:v>2.41E-2</c:v>
                </c:pt>
                <c:pt idx="18">
                  <c:v>1.04E-2</c:v>
                </c:pt>
                <c:pt idx="19">
                  <c:v>8.5000000000000006E-3</c:v>
                </c:pt>
                <c:pt idx="20">
                  <c:v>7.8200000000000006E-2</c:v>
                </c:pt>
                <c:pt idx="21">
                  <c:v>-2.5000000000000001E-3</c:v>
                </c:pt>
                <c:pt idx="22">
                  <c:v>3.5999999999999997E-2</c:v>
                </c:pt>
                <c:pt idx="23">
                  <c:v>1.26E-2</c:v>
                </c:pt>
                <c:pt idx="24">
                  <c:v>-6.8999999999999999E-3</c:v>
                </c:pt>
                <c:pt idx="25">
                  <c:v>7.7999999999999996E-3</c:v>
                </c:pt>
                <c:pt idx="26">
                  <c:v>-2.0000000000000001E-4</c:v>
                </c:pt>
                <c:pt idx="27">
                  <c:v>3.6999999999999998E-2</c:v>
                </c:pt>
                <c:pt idx="28">
                  <c:v>1.0200000000000001E-2</c:v>
                </c:pt>
                <c:pt idx="29">
                  <c:v>-4.0000000000000001E-3</c:v>
                </c:pt>
                <c:pt idx="30">
                  <c:v>-1.0800000000000001E-2</c:v>
                </c:pt>
                <c:pt idx="31">
                  <c:v>-2.4799999999999999E-2</c:v>
                </c:pt>
                <c:pt idx="32">
                  <c:v>-1.83E-2</c:v>
                </c:pt>
                <c:pt idx="33">
                  <c:v>2.8799999999999999E-2</c:v>
                </c:pt>
                <c:pt idx="34">
                  <c:v>-2.0000000000000001E-4</c:v>
                </c:pt>
                <c:pt idx="35">
                  <c:v>-3.0800000000000001E-2</c:v>
                </c:pt>
                <c:pt idx="36">
                  <c:v>-6.9999999999999999E-4</c:v>
                </c:pt>
                <c:pt idx="37">
                  <c:v>-3.2399999999999998E-2</c:v>
                </c:pt>
                <c:pt idx="38">
                  <c:v>-6.8999999999999999E-3</c:v>
                </c:pt>
                <c:pt idx="39">
                  <c:v>-5.9900000000000002E-2</c:v>
                </c:pt>
                <c:pt idx="40">
                  <c:v>2.8799999999999999E-2</c:v>
                </c:pt>
                <c:pt idx="41">
                  <c:v>4.4999999999999997E-3</c:v>
                </c:pt>
                <c:pt idx="42">
                  <c:v>3.3E-3</c:v>
                </c:pt>
                <c:pt idx="43">
                  <c:v>3.4799999999999998E-2</c:v>
                </c:pt>
                <c:pt idx="44">
                  <c:v>-1.37E-2</c:v>
                </c:pt>
                <c:pt idx="45">
                  <c:v>3.9399999999999998E-2</c:v>
                </c:pt>
                <c:pt idx="46">
                  <c:v>6.6E-3</c:v>
                </c:pt>
                <c:pt idx="47">
                  <c:v>1.7000000000000001E-2</c:v>
                </c:pt>
                <c:pt idx="48">
                  <c:v>-3.8999999999999998E-3</c:v>
                </c:pt>
                <c:pt idx="49">
                  <c:v>1.23E-2</c:v>
                </c:pt>
                <c:pt idx="50">
                  <c:v>1E-4</c:v>
                </c:pt>
                <c:pt idx="51">
                  <c:v>1.6999999999999999E-3</c:v>
                </c:pt>
                <c:pt idx="52">
                  <c:v>1.43E-2</c:v>
                </c:pt>
              </c:numCache>
            </c:numRef>
          </c:xVal>
          <c:yVal>
            <c:numRef>
              <c:f>'Beta 2023'!$B$25:$B$77</c:f>
              <c:numCache>
                <c:formatCode>General</c:formatCode>
                <c:ptCount val="53"/>
                <c:pt idx="0">
                  <c:v>1.6695984780840601E-2</c:v>
                </c:pt>
                <c:pt idx="1">
                  <c:v>1.41939491326879E-2</c:v>
                </c:pt>
                <c:pt idx="2">
                  <c:v>1.1100523240426499E-2</c:v>
                </c:pt>
                <c:pt idx="3">
                  <c:v>2.30193112370808E-2</c:v>
                </c:pt>
                <c:pt idx="4">
                  <c:v>1.4148457575448799E-2</c:v>
                </c:pt>
                <c:pt idx="5">
                  <c:v>2.1381615176471899E-2</c:v>
                </c:pt>
                <c:pt idx="6">
                  <c:v>2.08357164896022E-2</c:v>
                </c:pt>
                <c:pt idx="7">
                  <c:v>1.0463641439078601E-2</c:v>
                </c:pt>
                <c:pt idx="8">
                  <c:v>6.6423506309909296E-3</c:v>
                </c:pt>
                <c:pt idx="9">
                  <c:v>-1.7741124049187401E-2</c:v>
                </c:pt>
                <c:pt idx="10">
                  <c:v>-9.4161690744250202E-3</c:v>
                </c:pt>
                <c:pt idx="11">
                  <c:v>6.5513675165126501E-3</c:v>
                </c:pt>
                <c:pt idx="12">
                  <c:v>2.0972191161319601E-2</c:v>
                </c:pt>
                <c:pt idx="13">
                  <c:v>1.44668984761228E-2</c:v>
                </c:pt>
                <c:pt idx="14">
                  <c:v>1.8288189284210402E-2</c:v>
                </c:pt>
                <c:pt idx="15">
                  <c:v>9.5993018515349408E-3</c:v>
                </c:pt>
                <c:pt idx="16">
                  <c:v>-4.6395555643154599E-3</c:v>
                </c:pt>
                <c:pt idx="17">
                  <c:v>1.7059917238753702E-2</c:v>
                </c:pt>
                <c:pt idx="18">
                  <c:v>1.08275738969917E-2</c:v>
                </c:pt>
                <c:pt idx="19">
                  <c:v>9.9632343094480501E-3</c:v>
                </c:pt>
                <c:pt idx="20">
                  <c:v>4.1670849705127702E-2</c:v>
                </c:pt>
                <c:pt idx="21">
                  <c:v>4.9591630131428002E-3</c:v>
                </c:pt>
                <c:pt idx="22">
                  <c:v>2.2473412550211201E-2</c:v>
                </c:pt>
                <c:pt idx="23">
                  <c:v>1.18283881562527E-2</c:v>
                </c:pt>
                <c:pt idx="24">
                  <c:v>2.9575344946206998E-3</c:v>
                </c:pt>
                <c:pt idx="25">
                  <c:v>9.6447934087740793E-3</c:v>
                </c:pt>
                <c:pt idx="26">
                  <c:v>6.0054688296429896E-3</c:v>
                </c:pt>
                <c:pt idx="27">
                  <c:v>2.29283281226026E-2</c:v>
                </c:pt>
                <c:pt idx="28">
                  <c:v>1.07365907825134E-2</c:v>
                </c:pt>
                <c:pt idx="29">
                  <c:v>4.27678965455572E-3</c:v>
                </c:pt>
                <c:pt idx="30">
                  <c:v>1.18336376229429E-3</c:v>
                </c:pt>
                <c:pt idx="31">
                  <c:v>-5.1854542511851299E-3</c:v>
                </c:pt>
                <c:pt idx="32">
                  <c:v>-2.22850303064111E-3</c:v>
                </c:pt>
                <c:pt idx="33">
                  <c:v>1.9198020428993198E-2</c:v>
                </c:pt>
                <c:pt idx="34">
                  <c:v>6.0054688296429896E-3</c:v>
                </c:pt>
                <c:pt idx="35">
                  <c:v>-7.9149476855334498E-3</c:v>
                </c:pt>
                <c:pt idx="36">
                  <c:v>5.7780110434472896E-3</c:v>
                </c:pt>
                <c:pt idx="37">
                  <c:v>-8.6428126013596597E-3</c:v>
                </c:pt>
                <c:pt idx="38">
                  <c:v>2.9575344946206998E-3</c:v>
                </c:pt>
                <c:pt idx="39">
                  <c:v>-2.1152990842122799E-2</c:v>
                </c:pt>
                <c:pt idx="40">
                  <c:v>1.9198020428993198E-2</c:v>
                </c:pt>
                <c:pt idx="41">
                  <c:v>8.1435720198825001E-3</c:v>
                </c:pt>
                <c:pt idx="42">
                  <c:v>7.5976733330128396E-3</c:v>
                </c:pt>
                <c:pt idx="43">
                  <c:v>2.1927513863341502E-2</c:v>
                </c:pt>
                <c:pt idx="44">
                  <c:v>-1.35891397640734E-4</c:v>
                </c:pt>
                <c:pt idx="45">
                  <c:v>2.4020125496341901E-2</c:v>
                </c:pt>
                <c:pt idx="46">
                  <c:v>9.0988947219044092E-3</c:v>
                </c:pt>
                <c:pt idx="47">
                  <c:v>1.3830016674774801E-2</c:v>
                </c:pt>
                <c:pt idx="48">
                  <c:v>4.3222812117948498E-3</c:v>
                </c:pt>
                <c:pt idx="49">
                  <c:v>1.1691913484535301E-2</c:v>
                </c:pt>
                <c:pt idx="50">
                  <c:v>6.1419435013603998E-3</c:v>
                </c:pt>
                <c:pt idx="51">
                  <c:v>6.8698084171866201E-3</c:v>
                </c:pt>
                <c:pt idx="52">
                  <c:v>1.2601744629318099E-2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2-4D8B-847E-19EF9AF70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71008"/>
        <c:axId val="1005580128"/>
      </c:scatterChart>
      <c:valAx>
        <c:axId val="100557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80128"/>
        <c:crosses val="autoZero"/>
        <c:crossBetween val="midCat"/>
      </c:valAx>
      <c:valAx>
        <c:axId val="10055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7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28651d-1eb6-4df2-8c1f-09af34a171f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2024</a:t>
            </a:r>
          </a:p>
        </c:rich>
      </c:tx>
      <c:layout>
        <c:manualLayout>
          <c:xMode val="edge"/>
          <c:yMode val="edge"/>
          <c:x val="0.34765300059417698"/>
          <c:y val="1.13571834185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Histor'!$E$158:$E$262</c:f>
              <c:numCache>
                <c:formatCode>0.00%</c:formatCode>
                <c:ptCount val="105"/>
                <c:pt idx="0">
                  <c:v>2.3300000000000001E-2</c:v>
                </c:pt>
                <c:pt idx="1">
                  <c:v>1.78E-2</c:v>
                </c:pt>
                <c:pt idx="2">
                  <c:v>1.0999999999999999E-2</c:v>
                </c:pt>
                <c:pt idx="3">
                  <c:v>3.7199999999999997E-2</c:v>
                </c:pt>
                <c:pt idx="4">
                  <c:v>1.77E-2</c:v>
                </c:pt>
                <c:pt idx="5">
                  <c:v>3.3599999999999998E-2</c:v>
                </c:pt>
                <c:pt idx="6">
                  <c:v>3.2399999999999998E-2</c:v>
                </c:pt>
                <c:pt idx="7">
                  <c:v>9.5999999999999992E-3</c:v>
                </c:pt>
                <c:pt idx="8">
                  <c:v>1.1999999999999999E-3</c:v>
                </c:pt>
                <c:pt idx="9">
                  <c:v>-5.2400000000000002E-2</c:v>
                </c:pt>
                <c:pt idx="10">
                  <c:v>-3.4099999999999998E-2</c:v>
                </c:pt>
                <c:pt idx="11">
                  <c:v>1E-3</c:v>
                </c:pt>
                <c:pt idx="12">
                  <c:v>3.27E-2</c:v>
                </c:pt>
                <c:pt idx="13">
                  <c:v>1.84E-2</c:v>
                </c:pt>
                <c:pt idx="14">
                  <c:v>2.6800000000000001E-2</c:v>
                </c:pt>
                <c:pt idx="15">
                  <c:v>7.7000000000000002E-3</c:v>
                </c:pt>
                <c:pt idx="16">
                  <c:v>-2.3599999999999999E-2</c:v>
                </c:pt>
                <c:pt idx="17">
                  <c:v>2.41E-2</c:v>
                </c:pt>
                <c:pt idx="18">
                  <c:v>1.04E-2</c:v>
                </c:pt>
                <c:pt idx="19">
                  <c:v>8.5000000000000006E-3</c:v>
                </c:pt>
                <c:pt idx="20">
                  <c:v>7.8200000000000006E-2</c:v>
                </c:pt>
                <c:pt idx="21">
                  <c:v>-2.5000000000000001E-3</c:v>
                </c:pt>
                <c:pt idx="22">
                  <c:v>3.5999999999999997E-2</c:v>
                </c:pt>
                <c:pt idx="23">
                  <c:v>1.26E-2</c:v>
                </c:pt>
                <c:pt idx="24">
                  <c:v>-6.8999999999999999E-3</c:v>
                </c:pt>
                <c:pt idx="25">
                  <c:v>7.7999999999999996E-3</c:v>
                </c:pt>
                <c:pt idx="26">
                  <c:v>-2.0000000000000001E-4</c:v>
                </c:pt>
                <c:pt idx="27">
                  <c:v>3.6999999999999998E-2</c:v>
                </c:pt>
                <c:pt idx="28">
                  <c:v>1.0200000000000001E-2</c:v>
                </c:pt>
                <c:pt idx="29">
                  <c:v>-4.0000000000000001E-3</c:v>
                </c:pt>
                <c:pt idx="30">
                  <c:v>-1.0800000000000001E-2</c:v>
                </c:pt>
                <c:pt idx="31">
                  <c:v>-2.4799999999999999E-2</c:v>
                </c:pt>
                <c:pt idx="32">
                  <c:v>-1.83E-2</c:v>
                </c:pt>
                <c:pt idx="33">
                  <c:v>2.8799999999999999E-2</c:v>
                </c:pt>
                <c:pt idx="34">
                  <c:v>-2.0000000000000001E-4</c:v>
                </c:pt>
                <c:pt idx="35">
                  <c:v>-3.0800000000000001E-2</c:v>
                </c:pt>
                <c:pt idx="36">
                  <c:v>-6.9999999999999999E-4</c:v>
                </c:pt>
                <c:pt idx="37">
                  <c:v>-3.2399999999999998E-2</c:v>
                </c:pt>
                <c:pt idx="38">
                  <c:v>-6.8999999999999999E-3</c:v>
                </c:pt>
                <c:pt idx="39">
                  <c:v>-5.9900000000000002E-2</c:v>
                </c:pt>
                <c:pt idx="40">
                  <c:v>2.8799999999999999E-2</c:v>
                </c:pt>
                <c:pt idx="41">
                  <c:v>4.4999999999999997E-3</c:v>
                </c:pt>
                <c:pt idx="42">
                  <c:v>3.3E-3</c:v>
                </c:pt>
                <c:pt idx="43">
                  <c:v>3.4799999999999998E-2</c:v>
                </c:pt>
                <c:pt idx="44">
                  <c:v>-1.37E-2</c:v>
                </c:pt>
                <c:pt idx="45">
                  <c:v>3.9399999999999998E-2</c:v>
                </c:pt>
                <c:pt idx="46">
                  <c:v>6.6E-3</c:v>
                </c:pt>
                <c:pt idx="47">
                  <c:v>1.7000000000000001E-2</c:v>
                </c:pt>
                <c:pt idx="48">
                  <c:v>-3.8999999999999998E-3</c:v>
                </c:pt>
                <c:pt idx="49">
                  <c:v>1.23E-2</c:v>
                </c:pt>
                <c:pt idx="50">
                  <c:v>1E-4</c:v>
                </c:pt>
                <c:pt idx="51">
                  <c:v>1.6999999999999999E-3</c:v>
                </c:pt>
                <c:pt idx="52">
                  <c:v>1.43E-2</c:v>
                </c:pt>
                <c:pt idx="53">
                  <c:v>3.1199999999999999E-2</c:v>
                </c:pt>
                <c:pt idx="54">
                  <c:v>-9.2999999999999992E-3</c:v>
                </c:pt>
                <c:pt idx="55">
                  <c:v>1.5599999999999999E-2</c:v>
                </c:pt>
                <c:pt idx="56">
                  <c:v>1.77E-2</c:v>
                </c:pt>
                <c:pt idx="57">
                  <c:v>1.1599999999999999E-2</c:v>
                </c:pt>
                <c:pt idx="58">
                  <c:v>3.0999999999999999E-3</c:v>
                </c:pt>
                <c:pt idx="59">
                  <c:v>5.7000000000000002E-3</c:v>
                </c:pt>
                <c:pt idx="60">
                  <c:v>6.7000000000000002E-3</c:v>
                </c:pt>
                <c:pt idx="61">
                  <c:v>3.0000000000000001E-3</c:v>
                </c:pt>
                <c:pt idx="62">
                  <c:v>-3.5000000000000001E-3</c:v>
                </c:pt>
                <c:pt idx="63">
                  <c:v>2.2000000000000001E-3</c:v>
                </c:pt>
                <c:pt idx="64">
                  <c:v>-2E-3</c:v>
                </c:pt>
                <c:pt idx="65">
                  <c:v>-2.7300000000000001E-2</c:v>
                </c:pt>
                <c:pt idx="66">
                  <c:v>1.24E-2</c:v>
                </c:pt>
                <c:pt idx="67">
                  <c:v>-5.7000000000000002E-3</c:v>
                </c:pt>
                <c:pt idx="68">
                  <c:v>4.48E-2</c:v>
                </c:pt>
                <c:pt idx="69">
                  <c:v>-1.9E-3</c:v>
                </c:pt>
                <c:pt idx="70">
                  <c:v>2.1899999999999999E-2</c:v>
                </c:pt>
                <c:pt idx="71">
                  <c:v>4.3E-3</c:v>
                </c:pt>
                <c:pt idx="72">
                  <c:v>-8.6E-3</c:v>
                </c:pt>
                <c:pt idx="73">
                  <c:v>-3.1E-2</c:v>
                </c:pt>
                <c:pt idx="74">
                  <c:v>1.8499999999999999E-2</c:v>
                </c:pt>
                <c:pt idx="75">
                  <c:v>-3.5299999999999998E-2</c:v>
                </c:pt>
                <c:pt idx="76">
                  <c:v>1.2200000000000001E-2</c:v>
                </c:pt>
                <c:pt idx="77">
                  <c:v>-1.3899999999999999E-2</c:v>
                </c:pt>
                <c:pt idx="78">
                  <c:v>2.58E-2</c:v>
                </c:pt>
                <c:pt idx="79">
                  <c:v>8.2000000000000007E-3</c:v>
                </c:pt>
                <c:pt idx="80">
                  <c:v>8.3000000000000001E-3</c:v>
                </c:pt>
                <c:pt idx="81">
                  <c:v>3.3E-3</c:v>
                </c:pt>
                <c:pt idx="82">
                  <c:v>-2.6100000000000002E-2</c:v>
                </c:pt>
                <c:pt idx="83">
                  <c:v>-3.3300000000000003E-2</c:v>
                </c:pt>
                <c:pt idx="84">
                  <c:v>3.5099999999999999E-2</c:v>
                </c:pt>
                <c:pt idx="85">
                  <c:v>5.0000000000000001E-4</c:v>
                </c:pt>
                <c:pt idx="86">
                  <c:v>-1E-3</c:v>
                </c:pt>
                <c:pt idx="87">
                  <c:v>8.3000000000000001E-3</c:v>
                </c:pt>
                <c:pt idx="88">
                  <c:v>-1.66E-2</c:v>
                </c:pt>
                <c:pt idx="89">
                  <c:v>4.1999999999999997E-3</c:v>
                </c:pt>
                <c:pt idx="90">
                  <c:v>3.0499999999999999E-2</c:v>
                </c:pt>
                <c:pt idx="91">
                  <c:v>-2.1000000000000001E-2</c:v>
                </c:pt>
                <c:pt idx="92">
                  <c:v>-1.47E-2</c:v>
                </c:pt>
                <c:pt idx="93">
                  <c:v>1.89E-2</c:v>
                </c:pt>
                <c:pt idx="94">
                  <c:v>-3.6900000000000002E-2</c:v>
                </c:pt>
                <c:pt idx="95">
                  <c:v>2.0000000000000001E-4</c:v>
                </c:pt>
                <c:pt idx="96">
                  <c:v>1.6299999999999999E-2</c:v>
                </c:pt>
                <c:pt idx="97">
                  <c:v>-6.6E-3</c:v>
                </c:pt>
                <c:pt idx="98">
                  <c:v>-1.6000000000000001E-3</c:v>
                </c:pt>
                <c:pt idx="99">
                  <c:v>-5.7999999999999996E-3</c:v>
                </c:pt>
                <c:pt idx="100">
                  <c:v>4.5199999999999997E-2</c:v>
                </c:pt>
                <c:pt idx="101">
                  <c:v>8.8000000000000005E-3</c:v>
                </c:pt>
                <c:pt idx="102">
                  <c:v>-1.14E-2</c:v>
                </c:pt>
                <c:pt idx="103">
                  <c:v>3.3999999999999998E-3</c:v>
                </c:pt>
                <c:pt idx="104">
                  <c:v>2.0199999999999999E-2</c:v>
                </c:pt>
              </c:numCache>
            </c:numRef>
          </c:xVal>
          <c:yVal>
            <c:numRef>
              <c:f>'Kri-Kri Milk Stock Price Histor'!$C$158:$C$262</c:f>
              <c:numCache>
                <c:formatCode>0.00%</c:formatCode>
                <c:ptCount val="105"/>
                <c:pt idx="0">
                  <c:v>4.5199999999999997E-2</c:v>
                </c:pt>
                <c:pt idx="1">
                  <c:v>3.0999999999999999E-3</c:v>
                </c:pt>
                <c:pt idx="2">
                  <c:v>-9.1999999999999998E-3</c:v>
                </c:pt>
                <c:pt idx="3">
                  <c:v>-4.9700000000000001E-2</c:v>
                </c:pt>
                <c:pt idx="4">
                  <c:v>1.3100000000000001E-2</c:v>
                </c:pt>
                <c:pt idx="5">
                  <c:v>-1.61E-2</c:v>
                </c:pt>
                <c:pt idx="6">
                  <c:v>1.9699999999999999E-2</c:v>
                </c:pt>
                <c:pt idx="7">
                  <c:v>1.9300000000000001E-2</c:v>
                </c:pt>
                <c:pt idx="8">
                  <c:v>6.3E-3</c:v>
                </c:pt>
                <c:pt idx="9">
                  <c:v>3.1300000000000001E-2</c:v>
                </c:pt>
                <c:pt idx="10">
                  <c:v>-7.2900000000000006E-2</c:v>
                </c:pt>
                <c:pt idx="11">
                  <c:v>4.9200000000000001E-2</c:v>
                </c:pt>
                <c:pt idx="12">
                  <c:v>-9.4000000000000004E-3</c:v>
                </c:pt>
                <c:pt idx="13">
                  <c:v>-3.2000000000000002E-3</c:v>
                </c:pt>
                <c:pt idx="14">
                  <c:v>2.8500000000000001E-2</c:v>
                </c:pt>
                <c:pt idx="15">
                  <c:v>-6.1999999999999998E-3</c:v>
                </c:pt>
                <c:pt idx="16">
                  <c:v>2.1700000000000001E-2</c:v>
                </c:pt>
                <c:pt idx="17">
                  <c:v>4.8500000000000001E-2</c:v>
                </c:pt>
                <c:pt idx="18">
                  <c:v>2.5999999999999999E-2</c:v>
                </c:pt>
                <c:pt idx="19">
                  <c:v>1.1299999999999999E-2</c:v>
                </c:pt>
                <c:pt idx="20">
                  <c:v>0.13650000000000001</c:v>
                </c:pt>
                <c:pt idx="21">
                  <c:v>-1.9599999999999999E-2</c:v>
                </c:pt>
                <c:pt idx="22">
                  <c:v>7.4999999999999997E-3</c:v>
                </c:pt>
                <c:pt idx="23">
                  <c:v>-1.24E-2</c:v>
                </c:pt>
                <c:pt idx="24">
                  <c:v>-2.5000000000000001E-3</c:v>
                </c:pt>
                <c:pt idx="25">
                  <c:v>2.5000000000000001E-3</c:v>
                </c:pt>
                <c:pt idx="26">
                  <c:v>2.5000000000000001E-3</c:v>
                </c:pt>
                <c:pt idx="27">
                  <c:v>3.0099999999999998E-2</c:v>
                </c:pt>
                <c:pt idx="28">
                  <c:v>1.7000000000000001E-2</c:v>
                </c:pt>
                <c:pt idx="29">
                  <c:v>2.87E-2</c:v>
                </c:pt>
                <c:pt idx="30">
                  <c:v>0</c:v>
                </c:pt>
                <c:pt idx="31">
                  <c:v>-3.0200000000000001E-2</c:v>
                </c:pt>
                <c:pt idx="32">
                  <c:v>-1.6799999999999999E-2</c:v>
                </c:pt>
                <c:pt idx="33">
                  <c:v>2.4400000000000002E-2</c:v>
                </c:pt>
                <c:pt idx="34">
                  <c:v>-1.67E-2</c:v>
                </c:pt>
                <c:pt idx="35">
                  <c:v>-4.5999999999999999E-2</c:v>
                </c:pt>
                <c:pt idx="36">
                  <c:v>-1.0200000000000001E-2</c:v>
                </c:pt>
                <c:pt idx="37">
                  <c:v>2.5999999999999999E-3</c:v>
                </c:pt>
                <c:pt idx="38">
                  <c:v>6.3899999999999998E-2</c:v>
                </c:pt>
                <c:pt idx="39">
                  <c:v>-1.44E-2</c:v>
                </c:pt>
                <c:pt idx="40">
                  <c:v>-3.4099999999999998E-2</c:v>
                </c:pt>
                <c:pt idx="41">
                  <c:v>2.2700000000000001E-2</c:v>
                </c:pt>
                <c:pt idx="42">
                  <c:v>-2.5000000000000001E-3</c:v>
                </c:pt>
                <c:pt idx="43">
                  <c:v>5.0000000000000001E-3</c:v>
                </c:pt>
                <c:pt idx="44">
                  <c:v>5.4199999999999998E-2</c:v>
                </c:pt>
                <c:pt idx="45">
                  <c:v>-7.0000000000000001E-3</c:v>
                </c:pt>
                <c:pt idx="46">
                  <c:v>5.6500000000000002E-2</c:v>
                </c:pt>
                <c:pt idx="47">
                  <c:v>5.1200000000000002E-2</c:v>
                </c:pt>
                <c:pt idx="48">
                  <c:v>-2.0999999999999999E-3</c:v>
                </c:pt>
                <c:pt idx="49">
                  <c:v>8.5000000000000006E-3</c:v>
                </c:pt>
                <c:pt idx="50">
                  <c:v>4.1999999999999997E-3</c:v>
                </c:pt>
                <c:pt idx="51">
                  <c:v>4.1999999999999997E-3</c:v>
                </c:pt>
                <c:pt idx="52">
                  <c:v>2.3E-2</c:v>
                </c:pt>
                <c:pt idx="53">
                  <c:v>8.2000000000000007E-3</c:v>
                </c:pt>
                <c:pt idx="54">
                  <c:v>4.0000000000000001E-3</c:v>
                </c:pt>
                <c:pt idx="55">
                  <c:v>-4.0000000000000001E-3</c:v>
                </c:pt>
                <c:pt idx="56">
                  <c:v>2E-3</c:v>
                </c:pt>
                <c:pt idx="57">
                  <c:v>0</c:v>
                </c:pt>
                <c:pt idx="58">
                  <c:v>0</c:v>
                </c:pt>
                <c:pt idx="59">
                  <c:v>6.5699999999999995E-2</c:v>
                </c:pt>
                <c:pt idx="60">
                  <c:v>2.8400000000000002E-2</c:v>
                </c:pt>
                <c:pt idx="61">
                  <c:v>9.1999999999999998E-3</c:v>
                </c:pt>
                <c:pt idx="62">
                  <c:v>9.5899999999999999E-2</c:v>
                </c:pt>
                <c:pt idx="63">
                  <c:v>-1.67E-2</c:v>
                </c:pt>
                <c:pt idx="64">
                  <c:v>-8.5000000000000006E-3</c:v>
                </c:pt>
                <c:pt idx="65">
                  <c:v>-6.8400000000000002E-2</c:v>
                </c:pt>
                <c:pt idx="66">
                  <c:v>3.6700000000000003E-2</c:v>
                </c:pt>
                <c:pt idx="67">
                  <c:v>-8.8000000000000005E-3</c:v>
                </c:pt>
                <c:pt idx="68">
                  <c:v>-2.23E-2</c:v>
                </c:pt>
                <c:pt idx="69">
                  <c:v>-3.2000000000000001E-2</c:v>
                </c:pt>
                <c:pt idx="70">
                  <c:v>4.7000000000000002E-3</c:v>
                </c:pt>
                <c:pt idx="71">
                  <c:v>3.2899999999999999E-2</c:v>
                </c:pt>
                <c:pt idx="72">
                  <c:v>2.7300000000000001E-2</c:v>
                </c:pt>
                <c:pt idx="73">
                  <c:v>-1.3299999999999999E-2</c:v>
                </c:pt>
                <c:pt idx="74">
                  <c:v>-1.35E-2</c:v>
                </c:pt>
                <c:pt idx="75">
                  <c:v>-4.5499999999999999E-2</c:v>
                </c:pt>
                <c:pt idx="76">
                  <c:v>1.43E-2</c:v>
                </c:pt>
                <c:pt idx="77">
                  <c:v>6.5699999999999995E-2</c:v>
                </c:pt>
                <c:pt idx="78">
                  <c:v>2.1999999999999999E-2</c:v>
                </c:pt>
                <c:pt idx="79">
                  <c:v>-8.6E-3</c:v>
                </c:pt>
                <c:pt idx="80">
                  <c:v>-8.6999999999999994E-3</c:v>
                </c:pt>
                <c:pt idx="81">
                  <c:v>1.32E-2</c:v>
                </c:pt>
                <c:pt idx="82">
                  <c:v>-4.3299999999999998E-2</c:v>
                </c:pt>
                <c:pt idx="83">
                  <c:v>3.1699999999999999E-2</c:v>
                </c:pt>
                <c:pt idx="84">
                  <c:v>5.2600000000000001E-2</c:v>
                </c:pt>
                <c:pt idx="85">
                  <c:v>2.5000000000000001E-2</c:v>
                </c:pt>
                <c:pt idx="86">
                  <c:v>-8.0999999999999996E-3</c:v>
                </c:pt>
                <c:pt idx="87">
                  <c:v>1.23E-2</c:v>
                </c:pt>
                <c:pt idx="88">
                  <c:v>4.0000000000000001E-3</c:v>
                </c:pt>
                <c:pt idx="89">
                  <c:v>5.6500000000000002E-2</c:v>
                </c:pt>
                <c:pt idx="90">
                  <c:v>2.6700000000000002E-2</c:v>
                </c:pt>
                <c:pt idx="91">
                  <c:v>-2.5999999999999999E-2</c:v>
                </c:pt>
                <c:pt idx="92">
                  <c:v>7.6E-3</c:v>
                </c:pt>
                <c:pt idx="93">
                  <c:v>-3.8E-3</c:v>
                </c:pt>
                <c:pt idx="94">
                  <c:v>6.08E-2</c:v>
                </c:pt>
                <c:pt idx="95">
                  <c:v>-2.5100000000000001E-2</c:v>
                </c:pt>
                <c:pt idx="96">
                  <c:v>3.6799999999999999E-2</c:v>
                </c:pt>
                <c:pt idx="97">
                  <c:v>2.1299999999999999E-2</c:v>
                </c:pt>
                <c:pt idx="98">
                  <c:v>-6.8999999999999999E-3</c:v>
                </c:pt>
                <c:pt idx="99">
                  <c:v>0</c:v>
                </c:pt>
                <c:pt idx="100">
                  <c:v>6.6400000000000001E-2</c:v>
                </c:pt>
                <c:pt idx="101">
                  <c:v>-3.3E-3</c:v>
                </c:pt>
                <c:pt idx="102">
                  <c:v>9.9000000000000008E-3</c:v>
                </c:pt>
                <c:pt idx="103">
                  <c:v>-2.2800000000000001E-2</c:v>
                </c:pt>
                <c:pt idx="104">
                  <c:v>3.6700000000000003E-2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5-49C3-88D0-4E69A5D33A4A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Histor'!$E$158:$E$262</c:f>
              <c:numCache>
                <c:formatCode>0.00%</c:formatCode>
                <c:ptCount val="105"/>
                <c:pt idx="0">
                  <c:v>2.3300000000000001E-2</c:v>
                </c:pt>
                <c:pt idx="1">
                  <c:v>1.78E-2</c:v>
                </c:pt>
                <c:pt idx="2">
                  <c:v>1.0999999999999999E-2</c:v>
                </c:pt>
                <c:pt idx="3">
                  <c:v>3.7199999999999997E-2</c:v>
                </c:pt>
                <c:pt idx="4">
                  <c:v>1.77E-2</c:v>
                </c:pt>
                <c:pt idx="5">
                  <c:v>3.3599999999999998E-2</c:v>
                </c:pt>
                <c:pt idx="6">
                  <c:v>3.2399999999999998E-2</c:v>
                </c:pt>
                <c:pt idx="7">
                  <c:v>9.5999999999999992E-3</c:v>
                </c:pt>
                <c:pt idx="8">
                  <c:v>1.1999999999999999E-3</c:v>
                </c:pt>
                <c:pt idx="9">
                  <c:v>-5.2400000000000002E-2</c:v>
                </c:pt>
                <c:pt idx="10">
                  <c:v>-3.4099999999999998E-2</c:v>
                </c:pt>
                <c:pt idx="11">
                  <c:v>1E-3</c:v>
                </c:pt>
                <c:pt idx="12">
                  <c:v>3.27E-2</c:v>
                </c:pt>
                <c:pt idx="13">
                  <c:v>1.84E-2</c:v>
                </c:pt>
                <c:pt idx="14">
                  <c:v>2.6800000000000001E-2</c:v>
                </c:pt>
                <c:pt idx="15">
                  <c:v>7.7000000000000002E-3</c:v>
                </c:pt>
                <c:pt idx="16">
                  <c:v>-2.3599999999999999E-2</c:v>
                </c:pt>
                <c:pt idx="17">
                  <c:v>2.41E-2</c:v>
                </c:pt>
                <c:pt idx="18">
                  <c:v>1.04E-2</c:v>
                </c:pt>
                <c:pt idx="19">
                  <c:v>8.5000000000000006E-3</c:v>
                </c:pt>
                <c:pt idx="20">
                  <c:v>7.8200000000000006E-2</c:v>
                </c:pt>
                <c:pt idx="21">
                  <c:v>-2.5000000000000001E-3</c:v>
                </c:pt>
                <c:pt idx="22">
                  <c:v>3.5999999999999997E-2</c:v>
                </c:pt>
                <c:pt idx="23">
                  <c:v>1.26E-2</c:v>
                </c:pt>
                <c:pt idx="24">
                  <c:v>-6.8999999999999999E-3</c:v>
                </c:pt>
                <c:pt idx="25">
                  <c:v>7.7999999999999996E-3</c:v>
                </c:pt>
                <c:pt idx="26">
                  <c:v>-2.0000000000000001E-4</c:v>
                </c:pt>
                <c:pt idx="27">
                  <c:v>3.6999999999999998E-2</c:v>
                </c:pt>
                <c:pt idx="28">
                  <c:v>1.0200000000000001E-2</c:v>
                </c:pt>
                <c:pt idx="29">
                  <c:v>-4.0000000000000001E-3</c:v>
                </c:pt>
                <c:pt idx="30">
                  <c:v>-1.0800000000000001E-2</c:v>
                </c:pt>
                <c:pt idx="31">
                  <c:v>-2.4799999999999999E-2</c:v>
                </c:pt>
                <c:pt idx="32">
                  <c:v>-1.83E-2</c:v>
                </c:pt>
                <c:pt idx="33">
                  <c:v>2.8799999999999999E-2</c:v>
                </c:pt>
                <c:pt idx="34">
                  <c:v>-2.0000000000000001E-4</c:v>
                </c:pt>
                <c:pt idx="35">
                  <c:v>-3.0800000000000001E-2</c:v>
                </c:pt>
                <c:pt idx="36">
                  <c:v>-6.9999999999999999E-4</c:v>
                </c:pt>
                <c:pt idx="37">
                  <c:v>-3.2399999999999998E-2</c:v>
                </c:pt>
                <c:pt idx="38">
                  <c:v>-6.8999999999999999E-3</c:v>
                </c:pt>
                <c:pt idx="39">
                  <c:v>-5.9900000000000002E-2</c:v>
                </c:pt>
                <c:pt idx="40">
                  <c:v>2.8799999999999999E-2</c:v>
                </c:pt>
                <c:pt idx="41">
                  <c:v>4.4999999999999997E-3</c:v>
                </c:pt>
                <c:pt idx="42">
                  <c:v>3.3E-3</c:v>
                </c:pt>
                <c:pt idx="43">
                  <c:v>3.4799999999999998E-2</c:v>
                </c:pt>
                <c:pt idx="44">
                  <c:v>-1.37E-2</c:v>
                </c:pt>
                <c:pt idx="45">
                  <c:v>3.9399999999999998E-2</c:v>
                </c:pt>
                <c:pt idx="46">
                  <c:v>6.6E-3</c:v>
                </c:pt>
                <c:pt idx="47">
                  <c:v>1.7000000000000001E-2</c:v>
                </c:pt>
                <c:pt idx="48">
                  <c:v>-3.8999999999999998E-3</c:v>
                </c:pt>
                <c:pt idx="49">
                  <c:v>1.23E-2</c:v>
                </c:pt>
                <c:pt idx="50">
                  <c:v>1E-4</c:v>
                </c:pt>
                <c:pt idx="51">
                  <c:v>1.6999999999999999E-3</c:v>
                </c:pt>
                <c:pt idx="52">
                  <c:v>1.43E-2</c:v>
                </c:pt>
                <c:pt idx="53">
                  <c:v>3.1199999999999999E-2</c:v>
                </c:pt>
                <c:pt idx="54">
                  <c:v>-9.2999999999999992E-3</c:v>
                </c:pt>
                <c:pt idx="55">
                  <c:v>1.5599999999999999E-2</c:v>
                </c:pt>
                <c:pt idx="56">
                  <c:v>1.77E-2</c:v>
                </c:pt>
                <c:pt idx="57">
                  <c:v>1.1599999999999999E-2</c:v>
                </c:pt>
                <c:pt idx="58">
                  <c:v>3.0999999999999999E-3</c:v>
                </c:pt>
                <c:pt idx="59">
                  <c:v>5.7000000000000002E-3</c:v>
                </c:pt>
                <c:pt idx="60">
                  <c:v>6.7000000000000002E-3</c:v>
                </c:pt>
                <c:pt idx="61">
                  <c:v>3.0000000000000001E-3</c:v>
                </c:pt>
                <c:pt idx="62">
                  <c:v>-3.5000000000000001E-3</c:v>
                </c:pt>
                <c:pt idx="63">
                  <c:v>2.2000000000000001E-3</c:v>
                </c:pt>
                <c:pt idx="64">
                  <c:v>-2E-3</c:v>
                </c:pt>
                <c:pt idx="65">
                  <c:v>-2.7300000000000001E-2</c:v>
                </c:pt>
                <c:pt idx="66">
                  <c:v>1.24E-2</c:v>
                </c:pt>
                <c:pt idx="67">
                  <c:v>-5.7000000000000002E-3</c:v>
                </c:pt>
                <c:pt idx="68">
                  <c:v>4.48E-2</c:v>
                </c:pt>
                <c:pt idx="69">
                  <c:v>-1.9E-3</c:v>
                </c:pt>
                <c:pt idx="70">
                  <c:v>2.1899999999999999E-2</c:v>
                </c:pt>
                <c:pt idx="71">
                  <c:v>4.3E-3</c:v>
                </c:pt>
                <c:pt idx="72">
                  <c:v>-8.6E-3</c:v>
                </c:pt>
                <c:pt idx="73">
                  <c:v>-3.1E-2</c:v>
                </c:pt>
                <c:pt idx="74">
                  <c:v>1.8499999999999999E-2</c:v>
                </c:pt>
                <c:pt idx="75">
                  <c:v>-3.5299999999999998E-2</c:v>
                </c:pt>
                <c:pt idx="76">
                  <c:v>1.2200000000000001E-2</c:v>
                </c:pt>
                <c:pt idx="77">
                  <c:v>-1.3899999999999999E-2</c:v>
                </c:pt>
                <c:pt idx="78">
                  <c:v>2.58E-2</c:v>
                </c:pt>
                <c:pt idx="79">
                  <c:v>8.2000000000000007E-3</c:v>
                </c:pt>
                <c:pt idx="80">
                  <c:v>8.3000000000000001E-3</c:v>
                </c:pt>
                <c:pt idx="81">
                  <c:v>3.3E-3</c:v>
                </c:pt>
                <c:pt idx="82">
                  <c:v>-2.6100000000000002E-2</c:v>
                </c:pt>
                <c:pt idx="83">
                  <c:v>-3.3300000000000003E-2</c:v>
                </c:pt>
                <c:pt idx="84">
                  <c:v>3.5099999999999999E-2</c:v>
                </c:pt>
                <c:pt idx="85">
                  <c:v>5.0000000000000001E-4</c:v>
                </c:pt>
                <c:pt idx="86">
                  <c:v>-1E-3</c:v>
                </c:pt>
                <c:pt idx="87">
                  <c:v>8.3000000000000001E-3</c:v>
                </c:pt>
                <c:pt idx="88">
                  <c:v>-1.66E-2</c:v>
                </c:pt>
                <c:pt idx="89">
                  <c:v>4.1999999999999997E-3</c:v>
                </c:pt>
                <c:pt idx="90">
                  <c:v>3.0499999999999999E-2</c:v>
                </c:pt>
                <c:pt idx="91">
                  <c:v>-2.1000000000000001E-2</c:v>
                </c:pt>
                <c:pt idx="92">
                  <c:v>-1.47E-2</c:v>
                </c:pt>
                <c:pt idx="93">
                  <c:v>1.89E-2</c:v>
                </c:pt>
                <c:pt idx="94">
                  <c:v>-3.6900000000000002E-2</c:v>
                </c:pt>
                <c:pt idx="95">
                  <c:v>2.0000000000000001E-4</c:v>
                </c:pt>
                <c:pt idx="96">
                  <c:v>1.6299999999999999E-2</c:v>
                </c:pt>
                <c:pt idx="97">
                  <c:v>-6.6E-3</c:v>
                </c:pt>
                <c:pt idx="98">
                  <c:v>-1.6000000000000001E-3</c:v>
                </c:pt>
                <c:pt idx="99">
                  <c:v>-5.7999999999999996E-3</c:v>
                </c:pt>
                <c:pt idx="100">
                  <c:v>4.5199999999999997E-2</c:v>
                </c:pt>
                <c:pt idx="101">
                  <c:v>8.8000000000000005E-3</c:v>
                </c:pt>
                <c:pt idx="102">
                  <c:v>-1.14E-2</c:v>
                </c:pt>
                <c:pt idx="103">
                  <c:v>3.3999999999999998E-3</c:v>
                </c:pt>
                <c:pt idx="104">
                  <c:v>2.0199999999999999E-2</c:v>
                </c:pt>
              </c:numCache>
            </c:numRef>
          </c:xVal>
          <c:yVal>
            <c:numRef>
              <c:f>'Beta 2024'!$B$25:$B$129</c:f>
              <c:numCache>
                <c:formatCode>General</c:formatCode>
                <c:ptCount val="105"/>
                <c:pt idx="0">
                  <c:v>1.7235512941028899E-2</c:v>
                </c:pt>
                <c:pt idx="1">
                  <c:v>1.4885698097115299E-2</c:v>
                </c:pt>
                <c:pt idx="2">
                  <c:v>1.19804724719131E-2</c:v>
                </c:pt>
                <c:pt idx="3">
                  <c:v>2.3174135910192298E-2</c:v>
                </c:pt>
                <c:pt idx="4">
                  <c:v>1.48429741908623E-2</c:v>
                </c:pt>
                <c:pt idx="5">
                  <c:v>2.16360752850852E-2</c:v>
                </c:pt>
                <c:pt idx="6">
                  <c:v>2.1123388410049501E-2</c:v>
                </c:pt>
                <c:pt idx="7">
                  <c:v>1.13823377843714E-2</c:v>
                </c:pt>
                <c:pt idx="8">
                  <c:v>7.7935296591215798E-3</c:v>
                </c:pt>
                <c:pt idx="9">
                  <c:v>-1.5106484092472601E-2</c:v>
                </c:pt>
                <c:pt idx="10">
                  <c:v>-7.2880092481783197E-3</c:v>
                </c:pt>
                <c:pt idx="11">
                  <c:v>7.7080818466156303E-3</c:v>
                </c:pt>
                <c:pt idx="12">
                  <c:v>2.1251560128808501E-2</c:v>
                </c:pt>
                <c:pt idx="13">
                  <c:v>1.51420415346331E-2</c:v>
                </c:pt>
                <c:pt idx="14">
                  <c:v>1.8730849659883E-2</c:v>
                </c:pt>
                <c:pt idx="15">
                  <c:v>1.05705835655649E-2</c:v>
                </c:pt>
                <c:pt idx="16">
                  <c:v>-2.8019990916160302E-3</c:v>
                </c:pt>
                <c:pt idx="17">
                  <c:v>1.75773041910527E-2</c:v>
                </c:pt>
                <c:pt idx="18">
                  <c:v>1.17241290343952E-2</c:v>
                </c:pt>
                <c:pt idx="19">
                  <c:v>1.09123748155887E-2</c:v>
                </c:pt>
                <c:pt idx="20">
                  <c:v>4.0690937473911698E-2</c:v>
                </c:pt>
                <c:pt idx="21">
                  <c:v>6.2127451277615301E-3</c:v>
                </c:pt>
                <c:pt idx="22">
                  <c:v>2.26614490351566E-2</c:v>
                </c:pt>
                <c:pt idx="23">
                  <c:v>1.26640549719606E-2</c:v>
                </c:pt>
                <c:pt idx="24">
                  <c:v>4.3328932526306698E-3</c:v>
                </c:pt>
                <c:pt idx="25">
                  <c:v>1.06133074718179E-2</c:v>
                </c:pt>
                <c:pt idx="26">
                  <c:v>7.1953949715799397E-3</c:v>
                </c:pt>
                <c:pt idx="27">
                  <c:v>2.30886880976863E-2</c:v>
                </c:pt>
                <c:pt idx="28">
                  <c:v>1.16386812218893E-2</c:v>
                </c:pt>
                <c:pt idx="29">
                  <c:v>5.57188653396692E-3</c:v>
                </c:pt>
                <c:pt idx="30">
                  <c:v>2.6666609087646698E-3</c:v>
                </c:pt>
                <c:pt idx="31">
                  <c:v>-3.31468596665172E-3</c:v>
                </c:pt>
                <c:pt idx="32">
                  <c:v>-5.3763206020839298E-4</c:v>
                </c:pt>
                <c:pt idx="33">
                  <c:v>1.9585327784942499E-2</c:v>
                </c:pt>
                <c:pt idx="34">
                  <c:v>7.1953949715799397E-3</c:v>
                </c:pt>
                <c:pt idx="35">
                  <c:v>-5.8781203418301698E-3</c:v>
                </c:pt>
                <c:pt idx="36">
                  <c:v>6.98177544031507E-3</c:v>
                </c:pt>
                <c:pt idx="37">
                  <c:v>-6.5617028418777602E-3</c:v>
                </c:pt>
                <c:pt idx="38">
                  <c:v>4.3328932526306698E-3</c:v>
                </c:pt>
                <c:pt idx="39">
                  <c:v>-1.83107770614457E-2</c:v>
                </c:pt>
                <c:pt idx="40">
                  <c:v>1.9585327784942499E-2</c:v>
                </c:pt>
                <c:pt idx="41">
                  <c:v>9.2034185654697297E-3</c:v>
                </c:pt>
                <c:pt idx="42">
                  <c:v>8.69073169043404E-3</c:v>
                </c:pt>
                <c:pt idx="43">
                  <c:v>2.2148762160120902E-2</c:v>
                </c:pt>
                <c:pt idx="44">
                  <c:v>1.4276676274284201E-3</c:v>
                </c:pt>
                <c:pt idx="45">
                  <c:v>2.41140618477577E-2</c:v>
                </c:pt>
                <c:pt idx="46">
                  <c:v>1.0100620596782199E-2</c:v>
                </c:pt>
                <c:pt idx="47">
                  <c:v>1.45439068470915E-2</c:v>
                </c:pt>
                <c:pt idx="48">
                  <c:v>5.6146104402199004E-3</c:v>
                </c:pt>
                <c:pt idx="49">
                  <c:v>1.25358832532017E-2</c:v>
                </c:pt>
                <c:pt idx="50">
                  <c:v>7.32356669033886E-3</c:v>
                </c:pt>
                <c:pt idx="51">
                  <c:v>8.0071491903864495E-3</c:v>
                </c:pt>
                <c:pt idx="52">
                  <c:v>1.33903613782612E-2</c:v>
                </c:pt>
                <c:pt idx="53">
                  <c:v>2.0610701535013799E-2</c:v>
                </c:pt>
                <c:pt idx="54">
                  <c:v>3.3075195025592898E-3</c:v>
                </c:pt>
                <c:pt idx="55">
                  <c:v>1.39457721595499E-2</c:v>
                </c:pt>
                <c:pt idx="56">
                  <c:v>1.48429741908623E-2</c:v>
                </c:pt>
                <c:pt idx="57">
                  <c:v>1.22368159094309E-2</c:v>
                </c:pt>
                <c:pt idx="58">
                  <c:v>8.6052838779280896E-3</c:v>
                </c:pt>
                <c:pt idx="59">
                  <c:v>9.7161054405054195E-3</c:v>
                </c:pt>
                <c:pt idx="60">
                  <c:v>1.0143344503035201E-2</c:v>
                </c:pt>
                <c:pt idx="61">
                  <c:v>8.5625599716751197E-3</c:v>
                </c:pt>
                <c:pt idx="62">
                  <c:v>5.7855060652317897E-3</c:v>
                </c:pt>
                <c:pt idx="63">
                  <c:v>8.2207687216513201E-3</c:v>
                </c:pt>
                <c:pt idx="64">
                  <c:v>6.4263646590264102E-3</c:v>
                </c:pt>
                <c:pt idx="65">
                  <c:v>-4.3827836229760704E-3</c:v>
                </c:pt>
                <c:pt idx="66">
                  <c:v>1.25786071594547E-2</c:v>
                </c:pt>
                <c:pt idx="67">
                  <c:v>4.8455801276663596E-3</c:v>
                </c:pt>
                <c:pt idx="68">
                  <c:v>2.64211527854183E-2</c:v>
                </c:pt>
                <c:pt idx="69">
                  <c:v>6.4690885652793802E-3</c:v>
                </c:pt>
                <c:pt idx="70">
                  <c:v>1.6637378253487201E-2</c:v>
                </c:pt>
                <c:pt idx="71">
                  <c:v>9.1179707529637794E-3</c:v>
                </c:pt>
                <c:pt idx="72">
                  <c:v>3.6065868463301099E-3</c:v>
                </c:pt>
                <c:pt idx="73">
                  <c:v>-5.9635681543361201E-3</c:v>
                </c:pt>
                <c:pt idx="74">
                  <c:v>1.51847654408861E-2</c:v>
                </c:pt>
                <c:pt idx="75">
                  <c:v>-7.8006961232140104E-3</c:v>
                </c:pt>
                <c:pt idx="76">
                  <c:v>1.2493159346948699E-2</c:v>
                </c:pt>
                <c:pt idx="77">
                  <c:v>1.34221981492247E-3</c:v>
                </c:pt>
                <c:pt idx="78">
                  <c:v>1.83036105973532E-2</c:v>
                </c:pt>
                <c:pt idx="79">
                  <c:v>1.07842030968298E-2</c:v>
                </c:pt>
                <c:pt idx="80">
                  <c:v>1.0826927003082701E-2</c:v>
                </c:pt>
                <c:pt idx="81">
                  <c:v>8.69073169043404E-3</c:v>
                </c:pt>
                <c:pt idx="82">
                  <c:v>-3.8700967479403802E-3</c:v>
                </c:pt>
                <c:pt idx="83">
                  <c:v>-6.9462179981545297E-3</c:v>
                </c:pt>
                <c:pt idx="84">
                  <c:v>2.2276933878879801E-2</c:v>
                </c:pt>
                <c:pt idx="85">
                  <c:v>7.4944623153507597E-3</c:v>
                </c:pt>
                <c:pt idx="86">
                  <c:v>6.8536037215561497E-3</c:v>
                </c:pt>
                <c:pt idx="87">
                  <c:v>1.0826927003082701E-2</c:v>
                </c:pt>
                <c:pt idx="88">
                  <c:v>1.8867434609216901E-4</c:v>
                </c:pt>
                <c:pt idx="89">
                  <c:v>9.0752468467108095E-3</c:v>
                </c:pt>
                <c:pt idx="90">
                  <c:v>2.0311634191242999E-2</c:v>
                </c:pt>
                <c:pt idx="91">
                  <c:v>-1.6911775290387001E-3</c:v>
                </c:pt>
                <c:pt idx="92">
                  <c:v>1.00042856489868E-3</c:v>
                </c:pt>
                <c:pt idx="93">
                  <c:v>1.5355661065898E-2</c:v>
                </c:pt>
                <c:pt idx="94">
                  <c:v>-8.4842786232615999E-3</c:v>
                </c:pt>
                <c:pt idx="95">
                  <c:v>7.3662905965918403E-3</c:v>
                </c:pt>
                <c:pt idx="96">
                  <c:v>1.42448395033207E-2</c:v>
                </c:pt>
                <c:pt idx="97">
                  <c:v>4.4610649713895901E-3</c:v>
                </c:pt>
                <c:pt idx="98">
                  <c:v>6.5972602840382996E-3</c:v>
                </c:pt>
                <c:pt idx="99">
                  <c:v>4.8028562214133897E-3</c:v>
                </c:pt>
                <c:pt idx="100">
                  <c:v>2.65920484104302E-2</c:v>
                </c:pt>
                <c:pt idx="101">
                  <c:v>1.1040546534347599E-2</c:v>
                </c:pt>
                <c:pt idx="102">
                  <c:v>2.4103174712468301E-3</c:v>
                </c:pt>
                <c:pt idx="103">
                  <c:v>8.7334555966870099E-3</c:v>
                </c:pt>
                <c:pt idx="104">
                  <c:v>1.5911071847186702E-2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5-49C3-88D0-4E69A5D33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621888"/>
        <c:axId val="1005619968"/>
      </c:scatterChart>
      <c:valAx>
        <c:axId val="100562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19968"/>
        <c:crosses val="autoZero"/>
        <c:crossBetween val="midCat"/>
      </c:valAx>
      <c:valAx>
        <c:axId val="10056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2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9db09b-9f5f-4c29-a7e6-7a3c734a4b0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Histor'!$E$315:$E$365</c:f>
              <c:numCache>
                <c:formatCode>0.00%</c:formatCode>
                <c:ptCount val="51"/>
                <c:pt idx="0">
                  <c:v>1.14E-2</c:v>
                </c:pt>
                <c:pt idx="1">
                  <c:v>1.3899999999999999E-2</c:v>
                </c:pt>
                <c:pt idx="2">
                  <c:v>1.2800000000000001E-2</c:v>
                </c:pt>
                <c:pt idx="3">
                  <c:v>3.3999999999999998E-3</c:v>
                </c:pt>
                <c:pt idx="4">
                  <c:v>5.4999999999999997E-3</c:v>
                </c:pt>
                <c:pt idx="5">
                  <c:v>2.98E-2</c:v>
                </c:pt>
                <c:pt idx="6">
                  <c:v>8.6E-3</c:v>
                </c:pt>
                <c:pt idx="7">
                  <c:v>-6.4000000000000003E-3</c:v>
                </c:pt>
                <c:pt idx="8">
                  <c:v>1.2200000000000001E-2</c:v>
                </c:pt>
                <c:pt idx="9">
                  <c:v>4.07E-2</c:v>
                </c:pt>
                <c:pt idx="10">
                  <c:v>2.0999999999999999E-3</c:v>
                </c:pt>
                <c:pt idx="11">
                  <c:v>2.2700000000000001E-2</c:v>
                </c:pt>
                <c:pt idx="12">
                  <c:v>-7.9600000000000004E-2</c:v>
                </c:pt>
                <c:pt idx="13">
                  <c:v>-9.4000000000000004E-3</c:v>
                </c:pt>
                <c:pt idx="14">
                  <c:v>3.7600000000000001E-2</c:v>
                </c:pt>
                <c:pt idx="15">
                  <c:v>3.8600000000000002E-2</c:v>
                </c:pt>
                <c:pt idx="16">
                  <c:v>1.2E-2</c:v>
                </c:pt>
                <c:pt idx="17">
                  <c:v>1.41E-2</c:v>
                </c:pt>
                <c:pt idx="18">
                  <c:v>3.0599999999999999E-2</c:v>
                </c:pt>
                <c:pt idx="19">
                  <c:v>-1E-3</c:v>
                </c:pt>
                <c:pt idx="20">
                  <c:v>1.6E-2</c:v>
                </c:pt>
                <c:pt idx="21">
                  <c:v>6.4000000000000003E-3</c:v>
                </c:pt>
                <c:pt idx="22">
                  <c:v>-4.0000000000000001E-3</c:v>
                </c:pt>
                <c:pt idx="23">
                  <c:v>-1.8200000000000001E-2</c:v>
                </c:pt>
                <c:pt idx="24">
                  <c:v>4.1599999999999998E-2</c:v>
                </c:pt>
                <c:pt idx="25">
                  <c:v>2.1899999999999999E-2</c:v>
                </c:pt>
                <c:pt idx="26">
                  <c:v>2.1899999999999999E-2</c:v>
                </c:pt>
                <c:pt idx="27">
                  <c:v>1.29E-2</c:v>
                </c:pt>
                <c:pt idx="28">
                  <c:v>-8.5000000000000006E-3</c:v>
                </c:pt>
                <c:pt idx="29">
                  <c:v>-4.4000000000000003E-3</c:v>
                </c:pt>
                <c:pt idx="30">
                  <c:v>5.62E-2</c:v>
                </c:pt>
                <c:pt idx="31">
                  <c:v>2.7099999999999999E-2</c:v>
                </c:pt>
                <c:pt idx="32">
                  <c:v>-1.0500000000000001E-2</c:v>
                </c:pt>
                <c:pt idx="33">
                  <c:v>-3.9100000000000003E-2</c:v>
                </c:pt>
                <c:pt idx="34">
                  <c:v>6.9999999999999999E-4</c:v>
                </c:pt>
                <c:pt idx="35">
                  <c:v>1.9599999999999999E-2</c:v>
                </c:pt>
                <c:pt idx="36">
                  <c:v>-1.5599999999999999E-2</c:v>
                </c:pt>
                <c:pt idx="37">
                  <c:v>6.9999999999999999E-4</c:v>
                </c:pt>
                <c:pt idx="38">
                  <c:v>2.2100000000000002E-2</c:v>
                </c:pt>
                <c:pt idx="39">
                  <c:v>1.61E-2</c:v>
                </c:pt>
                <c:pt idx="40">
                  <c:v>-5.8099999999999999E-2</c:v>
                </c:pt>
                <c:pt idx="41">
                  <c:v>1.2E-2</c:v>
                </c:pt>
                <c:pt idx="42">
                  <c:v>-8.0999999999999996E-3</c:v>
                </c:pt>
                <c:pt idx="43">
                  <c:v>-4.1999999999999997E-3</c:v>
                </c:pt>
                <c:pt idx="44">
                  <c:v>3.6499999999999998E-2</c:v>
                </c:pt>
                <c:pt idx="45">
                  <c:v>1.1000000000000001E-3</c:v>
                </c:pt>
                <c:pt idx="46">
                  <c:v>1.04E-2</c:v>
                </c:pt>
                <c:pt idx="47">
                  <c:v>1.04E-2</c:v>
                </c:pt>
                <c:pt idx="48">
                  <c:v>-2.9999999999999997E-4</c:v>
                </c:pt>
                <c:pt idx="49">
                  <c:v>3.8999999999999998E-3</c:v>
                </c:pt>
                <c:pt idx="50">
                  <c:v>7.0000000000000001E-3</c:v>
                </c:pt>
              </c:numCache>
            </c:numRef>
          </c:xVal>
          <c:yVal>
            <c:numRef>
              <c:f>'Kri-Kri Milk Stock Price Histor'!$C$315:$C$365</c:f>
              <c:numCache>
                <c:formatCode>0.00%</c:formatCode>
                <c:ptCount val="51"/>
                <c:pt idx="0">
                  <c:v>1.61E-2</c:v>
                </c:pt>
                <c:pt idx="1">
                  <c:v>9.4999999999999998E-3</c:v>
                </c:pt>
                <c:pt idx="2">
                  <c:v>-1.5699999999999999E-2</c:v>
                </c:pt>
                <c:pt idx="3">
                  <c:v>2.23E-2</c:v>
                </c:pt>
                <c:pt idx="4">
                  <c:v>9.2999999999999992E-3</c:v>
                </c:pt>
                <c:pt idx="5">
                  <c:v>2.47E-2</c:v>
                </c:pt>
                <c:pt idx="6">
                  <c:v>-6.0000000000000001E-3</c:v>
                </c:pt>
                <c:pt idx="7">
                  <c:v>6.1000000000000004E-3</c:v>
                </c:pt>
                <c:pt idx="8">
                  <c:v>-6.6299999999999998E-2</c:v>
                </c:pt>
                <c:pt idx="9">
                  <c:v>3.5499999999999997E-2</c:v>
                </c:pt>
                <c:pt idx="10">
                  <c:v>-6.1999999999999998E-3</c:v>
                </c:pt>
                <c:pt idx="11">
                  <c:v>2.5100000000000001E-2</c:v>
                </c:pt>
                <c:pt idx="12">
                  <c:v>-5.5E-2</c:v>
                </c:pt>
                <c:pt idx="13">
                  <c:v>-2.52E-2</c:v>
                </c:pt>
                <c:pt idx="14">
                  <c:v>-1.06E-2</c:v>
                </c:pt>
                <c:pt idx="15">
                  <c:v>-1.61E-2</c:v>
                </c:pt>
                <c:pt idx="16">
                  <c:v>5.8700000000000002E-2</c:v>
                </c:pt>
                <c:pt idx="17">
                  <c:v>7.4700000000000003E-2</c:v>
                </c:pt>
                <c:pt idx="18">
                  <c:v>4.6800000000000001E-2</c:v>
                </c:pt>
                <c:pt idx="19">
                  <c:v>-9.1999999999999998E-3</c:v>
                </c:pt>
                <c:pt idx="20">
                  <c:v>4.5999999999999999E-3</c:v>
                </c:pt>
                <c:pt idx="21">
                  <c:v>-1.4999999999999999E-2</c:v>
                </c:pt>
                <c:pt idx="22">
                  <c:v>-1.29E-2</c:v>
                </c:pt>
                <c:pt idx="23">
                  <c:v>3.5499999999999997E-2</c:v>
                </c:pt>
                <c:pt idx="24">
                  <c:v>7.8899999999999998E-2</c:v>
                </c:pt>
                <c:pt idx="25">
                  <c:v>-4.1999999999999997E-3</c:v>
                </c:pt>
                <c:pt idx="26">
                  <c:v>-1.6E-2</c:v>
                </c:pt>
                <c:pt idx="27">
                  <c:v>-1.0800000000000001E-2</c:v>
                </c:pt>
                <c:pt idx="28">
                  <c:v>2.7300000000000001E-2</c:v>
                </c:pt>
                <c:pt idx="29">
                  <c:v>-1.06E-2</c:v>
                </c:pt>
                <c:pt idx="30">
                  <c:v>6.4999999999999997E-3</c:v>
                </c:pt>
                <c:pt idx="31">
                  <c:v>4.3799999999999999E-2</c:v>
                </c:pt>
                <c:pt idx="32">
                  <c:v>6.1899999999999997E-2</c:v>
                </c:pt>
                <c:pt idx="33">
                  <c:v>-6.9900000000000004E-2</c:v>
                </c:pt>
                <c:pt idx="34">
                  <c:v>0</c:v>
                </c:pt>
                <c:pt idx="35">
                  <c:v>-3.0099999999999998E-2</c:v>
                </c:pt>
                <c:pt idx="36">
                  <c:v>-5.7700000000000001E-2</c:v>
                </c:pt>
                <c:pt idx="37">
                  <c:v>-2.7199999999999998E-2</c:v>
                </c:pt>
                <c:pt idx="38">
                  <c:v>1.7500000000000002E-2</c:v>
                </c:pt>
                <c:pt idx="39">
                  <c:v>2.3E-3</c:v>
                </c:pt>
                <c:pt idx="40">
                  <c:v>0.04</c:v>
                </c:pt>
                <c:pt idx="41">
                  <c:v>4.6199999999999998E-2</c:v>
                </c:pt>
                <c:pt idx="42">
                  <c:v>3.4700000000000002E-2</c:v>
                </c:pt>
                <c:pt idx="43">
                  <c:v>-4.4699999999999997E-2</c:v>
                </c:pt>
                <c:pt idx="44">
                  <c:v>5.0999999999999997E-2</c:v>
                </c:pt>
                <c:pt idx="45">
                  <c:v>-5.16E-2</c:v>
                </c:pt>
                <c:pt idx="46">
                  <c:v>1.3899999999999999E-2</c:v>
                </c:pt>
                <c:pt idx="47">
                  <c:v>1.47E-2</c:v>
                </c:pt>
                <c:pt idx="48">
                  <c:v>2.07E-2</c:v>
                </c:pt>
                <c:pt idx="49">
                  <c:v>1.12E-2</c:v>
                </c:pt>
                <c:pt idx="50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60-4EDE-A5D4-AE914F549D2B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'Kri-Kri Milk Stock Price Histor'!$E$315:$E$365</c:f>
              <c:numCache>
                <c:formatCode>0.00%</c:formatCode>
                <c:ptCount val="51"/>
                <c:pt idx="0">
                  <c:v>1.14E-2</c:v>
                </c:pt>
                <c:pt idx="1">
                  <c:v>1.3899999999999999E-2</c:v>
                </c:pt>
                <c:pt idx="2">
                  <c:v>1.2800000000000001E-2</c:v>
                </c:pt>
                <c:pt idx="3">
                  <c:v>3.3999999999999998E-3</c:v>
                </c:pt>
                <c:pt idx="4">
                  <c:v>5.4999999999999997E-3</c:v>
                </c:pt>
                <c:pt idx="5">
                  <c:v>2.98E-2</c:v>
                </c:pt>
                <c:pt idx="6">
                  <c:v>8.6E-3</c:v>
                </c:pt>
                <c:pt idx="7">
                  <c:v>-6.4000000000000003E-3</c:v>
                </c:pt>
                <c:pt idx="8">
                  <c:v>1.2200000000000001E-2</c:v>
                </c:pt>
                <c:pt idx="9">
                  <c:v>4.07E-2</c:v>
                </c:pt>
                <c:pt idx="10">
                  <c:v>2.0999999999999999E-3</c:v>
                </c:pt>
                <c:pt idx="11">
                  <c:v>2.2700000000000001E-2</c:v>
                </c:pt>
                <c:pt idx="12">
                  <c:v>-7.9600000000000004E-2</c:v>
                </c:pt>
                <c:pt idx="13">
                  <c:v>-9.4000000000000004E-3</c:v>
                </c:pt>
                <c:pt idx="14">
                  <c:v>3.7600000000000001E-2</c:v>
                </c:pt>
                <c:pt idx="15">
                  <c:v>3.8600000000000002E-2</c:v>
                </c:pt>
                <c:pt idx="16">
                  <c:v>1.2E-2</c:v>
                </c:pt>
                <c:pt idx="17">
                  <c:v>1.41E-2</c:v>
                </c:pt>
                <c:pt idx="18">
                  <c:v>3.0599999999999999E-2</c:v>
                </c:pt>
                <c:pt idx="19">
                  <c:v>-1E-3</c:v>
                </c:pt>
                <c:pt idx="20">
                  <c:v>1.6E-2</c:v>
                </c:pt>
                <c:pt idx="21">
                  <c:v>6.4000000000000003E-3</c:v>
                </c:pt>
                <c:pt idx="22">
                  <c:v>-4.0000000000000001E-3</c:v>
                </c:pt>
                <c:pt idx="23">
                  <c:v>-1.8200000000000001E-2</c:v>
                </c:pt>
                <c:pt idx="24">
                  <c:v>4.1599999999999998E-2</c:v>
                </c:pt>
                <c:pt idx="25">
                  <c:v>2.1899999999999999E-2</c:v>
                </c:pt>
                <c:pt idx="26">
                  <c:v>2.1899999999999999E-2</c:v>
                </c:pt>
                <c:pt idx="27">
                  <c:v>1.29E-2</c:v>
                </c:pt>
                <c:pt idx="28">
                  <c:v>-8.5000000000000006E-3</c:v>
                </c:pt>
                <c:pt idx="29">
                  <c:v>-4.4000000000000003E-3</c:v>
                </c:pt>
                <c:pt idx="30">
                  <c:v>5.62E-2</c:v>
                </c:pt>
                <c:pt idx="31">
                  <c:v>2.7099999999999999E-2</c:v>
                </c:pt>
                <c:pt idx="32">
                  <c:v>-1.0500000000000001E-2</c:v>
                </c:pt>
                <c:pt idx="33">
                  <c:v>-3.9100000000000003E-2</c:v>
                </c:pt>
                <c:pt idx="34">
                  <c:v>6.9999999999999999E-4</c:v>
                </c:pt>
                <c:pt idx="35">
                  <c:v>1.9599999999999999E-2</c:v>
                </c:pt>
                <c:pt idx="36">
                  <c:v>-1.5599999999999999E-2</c:v>
                </c:pt>
                <c:pt idx="37">
                  <c:v>6.9999999999999999E-4</c:v>
                </c:pt>
                <c:pt idx="38">
                  <c:v>2.2100000000000002E-2</c:v>
                </c:pt>
                <c:pt idx="39">
                  <c:v>1.61E-2</c:v>
                </c:pt>
                <c:pt idx="40">
                  <c:v>-5.8099999999999999E-2</c:v>
                </c:pt>
                <c:pt idx="41">
                  <c:v>1.2E-2</c:v>
                </c:pt>
                <c:pt idx="42">
                  <c:v>-8.0999999999999996E-3</c:v>
                </c:pt>
                <c:pt idx="43">
                  <c:v>-4.1999999999999997E-3</c:v>
                </c:pt>
                <c:pt idx="44">
                  <c:v>3.6499999999999998E-2</c:v>
                </c:pt>
                <c:pt idx="45">
                  <c:v>1.1000000000000001E-3</c:v>
                </c:pt>
                <c:pt idx="46">
                  <c:v>1.04E-2</c:v>
                </c:pt>
                <c:pt idx="47">
                  <c:v>1.04E-2</c:v>
                </c:pt>
                <c:pt idx="48">
                  <c:v>-2.9999999999999997E-4</c:v>
                </c:pt>
                <c:pt idx="49">
                  <c:v>3.8999999999999998E-3</c:v>
                </c:pt>
                <c:pt idx="50">
                  <c:v>7.0000000000000001E-3</c:v>
                </c:pt>
              </c:numCache>
            </c:numRef>
          </c:xVal>
          <c:yVal>
            <c:numRef>
              <c:f>'Beta 2025'!$B$25:$B$75</c:f>
              <c:numCache>
                <c:formatCode>General</c:formatCode>
                <c:ptCount val="51"/>
                <c:pt idx="0">
                  <c:v>7.5268913774339113E-3</c:v>
                </c:pt>
                <c:pt idx="1">
                  <c:v>8.7435435647734393E-3</c:v>
                </c:pt>
                <c:pt idx="2">
                  <c:v>8.208216602344047E-3</c:v>
                </c:pt>
                <c:pt idx="3">
                  <c:v>3.633604377947422E-3</c:v>
                </c:pt>
                <c:pt idx="4">
                  <c:v>4.6555922153126254E-3</c:v>
                </c:pt>
                <c:pt idx="5">
                  <c:v>1.6481451476252837E-2</c:v>
                </c:pt>
                <c:pt idx="6">
                  <c:v>6.1642409276136401E-3</c:v>
                </c:pt>
                <c:pt idx="7">
                  <c:v>-1.1356721964235275E-3</c:v>
                </c:pt>
                <c:pt idx="8">
                  <c:v>7.9162200773825603E-3</c:v>
                </c:pt>
                <c:pt idx="9">
                  <c:v>2.1786055013053179E-2</c:v>
                </c:pt>
                <c:pt idx="10">
                  <c:v>3.0009452405308674E-3</c:v>
                </c:pt>
                <c:pt idx="11">
                  <c:v>1.3026159264208578E-2</c:v>
                </c:pt>
                <c:pt idx="12">
                  <c:v>-3.6759248241724905E-2</c:v>
                </c:pt>
                <c:pt idx="13">
                  <c:v>-2.595654821230961E-3</c:v>
                </c:pt>
                <c:pt idx="14">
                  <c:v>2.0277406300752164E-2</c:v>
                </c:pt>
                <c:pt idx="15">
                  <c:v>2.0764067175687975E-2</c:v>
                </c:pt>
                <c:pt idx="16">
                  <c:v>7.818887902395398E-3</c:v>
                </c:pt>
                <c:pt idx="17">
                  <c:v>8.8408757397606015E-3</c:v>
                </c:pt>
                <c:pt idx="18">
                  <c:v>1.6870780176201486E-2</c:v>
                </c:pt>
                <c:pt idx="19">
                  <c:v>1.4922965282298528E-3</c:v>
                </c:pt>
                <c:pt idx="20">
                  <c:v>9.7655314021386427E-3</c:v>
                </c:pt>
                <c:pt idx="21">
                  <c:v>5.0935870027548555E-3</c:v>
                </c:pt>
                <c:pt idx="22">
                  <c:v>3.2313903422419299E-5</c:v>
                </c:pt>
                <c:pt idx="23">
                  <c:v>-6.8782705206660993E-3</c:v>
                </c:pt>
                <c:pt idx="24">
                  <c:v>2.2224049800495409E-2</c:v>
                </c:pt>
                <c:pt idx="25">
                  <c:v>1.2636830564259929E-2</c:v>
                </c:pt>
                <c:pt idx="26">
                  <c:v>1.2636830564259929E-2</c:v>
                </c:pt>
                <c:pt idx="27">
                  <c:v>8.2568826898376281E-3</c:v>
                </c:pt>
                <c:pt idx="28">
                  <c:v>-2.157660033788731E-3</c:v>
                </c:pt>
                <c:pt idx="29">
                  <c:v>-1.6235044655190517E-4</c:v>
                </c:pt>
                <c:pt idx="30">
                  <c:v>2.9329298574558252E-2</c:v>
                </c:pt>
                <c:pt idx="31">
                  <c:v>1.5167467113926147E-2</c:v>
                </c:pt>
                <c:pt idx="32">
                  <c:v>-3.1309817836603533E-3</c:v>
                </c:pt>
                <c:pt idx="33">
                  <c:v>-1.7049482806824553E-2</c:v>
                </c:pt>
                <c:pt idx="34">
                  <c:v>2.3196200156207318E-3</c:v>
                </c:pt>
                <c:pt idx="35">
                  <c:v>1.1517510551907563E-2</c:v>
                </c:pt>
                <c:pt idx="36">
                  <c:v>-5.6129522458329903E-3</c:v>
                </c:pt>
                <c:pt idx="37">
                  <c:v>2.3196200156207318E-3</c:v>
                </c:pt>
                <c:pt idx="38">
                  <c:v>1.2734162739247091E-2</c:v>
                </c:pt>
                <c:pt idx="39">
                  <c:v>9.8141974896322239E-3</c:v>
                </c:pt>
                <c:pt idx="40">
                  <c:v>-2.6296039430604965E-2</c:v>
                </c:pt>
                <c:pt idx="41">
                  <c:v>7.818887902395398E-3</c:v>
                </c:pt>
                <c:pt idx="42">
                  <c:v>-1.9629956838144065E-3</c:v>
                </c:pt>
                <c:pt idx="43">
                  <c:v>-6.5018271564742935E-5</c:v>
                </c:pt>
                <c:pt idx="44">
                  <c:v>1.9742079338322772E-2</c:v>
                </c:pt>
                <c:pt idx="45">
                  <c:v>2.5142843655950563E-3</c:v>
                </c:pt>
                <c:pt idx="46">
                  <c:v>7.0402305024981002E-3</c:v>
                </c:pt>
                <c:pt idx="47">
                  <c:v>7.0402305024981002E-3</c:v>
                </c:pt>
                <c:pt idx="48">
                  <c:v>1.8329591406849206E-3</c:v>
                </c:pt>
                <c:pt idx="49">
                  <c:v>3.8769348154153276E-3</c:v>
                </c:pt>
                <c:pt idx="50">
                  <c:v>5.3855835277163422E-3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60-4EDE-A5D4-AE914F54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91744"/>
        <c:axId val="44892224"/>
      </c:scatterChart>
      <c:valAx>
        <c:axId val="448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2224"/>
        <c:crosses val="autoZero"/>
        <c:crossBetween val="midCat"/>
      </c:valAx>
      <c:valAx>
        <c:axId val="448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WACC!$A$13:$A$14</c:f>
              <c:strCache>
                <c:ptCount val="2"/>
                <c:pt idx="0">
                  <c:v>Equity</c:v>
                </c:pt>
                <c:pt idx="1">
                  <c:v>Dept</c:v>
                </c:pt>
              </c:strCache>
            </c:strRef>
          </c:cat>
          <c:val>
            <c:numRef>
              <c:f>WACC!$B$13:$B$14</c:f>
              <c:numCache>
                <c:formatCode>_([$€-2]\ * #,##0.00_);_([$€-2]\ * \(#,##0.00\);_([$€-2]\ * "-"??_);_(@_)</c:formatCode>
                <c:ptCount val="2"/>
                <c:pt idx="0" formatCode="_ [$€-2]\ * #,##0.00_ ;_ [$€-2]\ * \-#,##0.00_ ;_ [$€-2]\ * &quot;-&quot;??_ ;_ @_ ">
                  <c:v>216238468.44</c:v>
                </c:pt>
                <c:pt idx="1">
                  <c:v>11361040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7-4878-841B-D77336459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72-4D33-98A5-7F660B3A53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72-4D33-98A5-7F660B3A5385}"/>
              </c:ext>
            </c:extLst>
          </c:dPt>
          <c:cat>
            <c:strRef>
              <c:f>WACC!$A$13:$A$14</c:f>
              <c:strCache>
                <c:ptCount val="2"/>
                <c:pt idx="0">
                  <c:v>Equity</c:v>
                </c:pt>
                <c:pt idx="1">
                  <c:v>Dept</c:v>
                </c:pt>
              </c:strCache>
            </c:strRef>
          </c:cat>
          <c:val>
            <c:numRef>
              <c:f>WACC!$E$13:$E$14</c:f>
              <c:numCache>
                <c:formatCode>_([$€-2]\ * #,##0.00_);_([$€-2]\ * \(#,##0.00\);_([$€-2]\ * "-"??_);_(@_)</c:formatCode>
                <c:ptCount val="2"/>
                <c:pt idx="0" formatCode="_ [$€-2]\ * #,##0.00_ ;_ [$€-2]\ * \-#,##0.00_ ;_ [$€-2]\ * &quot;-&quot;??_ ;_ @_ ">
                  <c:v>323322139</c:v>
                </c:pt>
                <c:pt idx="1">
                  <c:v>12522674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2-4D33-98A5-7F660B3A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83-41C8-ABC1-4DF1B3DB01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83-41C8-ABC1-4DF1B3DB013E}"/>
              </c:ext>
            </c:extLst>
          </c:dPt>
          <c:cat>
            <c:strRef>
              <c:f>WACC!$A$13:$A$14</c:f>
              <c:strCache>
                <c:ptCount val="2"/>
                <c:pt idx="0">
                  <c:v>Equity</c:v>
                </c:pt>
                <c:pt idx="1">
                  <c:v>Dept</c:v>
                </c:pt>
              </c:strCache>
            </c:strRef>
          </c:cat>
          <c:val>
            <c:numRef>
              <c:f>WACC!$D$13:$D$14</c:f>
              <c:numCache>
                <c:formatCode>_([$€-2]\ * #,##0.00_);_([$€-2]\ * \(#,##0.00\);_([$€-2]\ * "-"??_);_(@_)</c:formatCode>
                <c:ptCount val="2"/>
                <c:pt idx="0" formatCode="_ [$€-2]\ * #,##0.00_ ;_ [$€-2]\ * \-#,##0.00_ ;_ [$€-2]\ * &quot;-&quot;??_ ;_ @_ ">
                  <c:v>204271958</c:v>
                </c:pt>
                <c:pt idx="1">
                  <c:v>15241863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3-41C8-ABC1-4DF1B3DB0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01-4229-8AFA-9CD46BA793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01-4229-8AFA-9CD46BA793B2}"/>
              </c:ext>
            </c:extLst>
          </c:dPt>
          <c:cat>
            <c:strRef>
              <c:f>WACC!$A$13:$A$14</c:f>
              <c:strCache>
                <c:ptCount val="2"/>
                <c:pt idx="0">
                  <c:v>Equity</c:v>
                </c:pt>
                <c:pt idx="1">
                  <c:v>Dept</c:v>
                </c:pt>
              </c:strCache>
            </c:strRef>
          </c:cat>
          <c:val>
            <c:numRef>
              <c:f>WACC!$C$13:$C$14</c:f>
              <c:numCache>
                <c:formatCode>_([$€-2]\ * #,##0.00_);_([$€-2]\ * \(#,##0.00\);_([$€-2]\ * "-"??_);_(@_)</c:formatCode>
                <c:ptCount val="2"/>
                <c:pt idx="0" formatCode="_ [$€-2]\ * #,##0.00_ ;_ [$€-2]\ * \-#,##0.00_ ;_ [$€-2]\ * &quot;-&quot;??_ ;_ @_ ">
                  <c:v>280134253.5</c:v>
                </c:pt>
                <c:pt idx="1">
                  <c:v>9333147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01-4229-8AFA-9CD46BA79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16-411F-A55E-EA840455812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16-411F-A55E-EA840455812E}"/>
              </c:ext>
            </c:extLst>
          </c:dPt>
          <c:cat>
            <c:strRef>
              <c:f>WACC!$A$13:$A$14</c:f>
              <c:strCache>
                <c:ptCount val="2"/>
                <c:pt idx="0">
                  <c:v>Equity</c:v>
                </c:pt>
                <c:pt idx="1">
                  <c:v>Dept</c:v>
                </c:pt>
              </c:strCache>
            </c:strRef>
          </c:cat>
          <c:val>
            <c:numRef>
              <c:f>WACC!$F$13:$F$14</c:f>
              <c:numCache>
                <c:formatCode>_([$€-2]\ * #,##0.00_);_([$€-2]\ * \(#,##0.00\);_([$€-2]\ * "-"??_);_(@_)</c:formatCode>
                <c:ptCount val="2"/>
                <c:pt idx="0" formatCode="_ [$€-2]\ * #,##0.00_ ;_ [$€-2]\ * \-#,##0.00_ ;_ [$€-2]\ * &quot;-&quot;??_ ;_ @_ ">
                  <c:v>513096383.60000002</c:v>
                </c:pt>
                <c:pt idx="1">
                  <c:v>4794837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16-411F-A55E-EA840455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23090</xdr:colOff>
      <xdr:row>0</xdr:row>
      <xdr:rowOff>23092</xdr:rowOff>
    </xdr:from>
    <xdr:to>
      <xdr:col>16</xdr:col>
      <xdr:colOff>161637</xdr:colOff>
      <xdr:row>20</xdr:row>
      <xdr:rowOff>92365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E4687-2586-7C04-43B0-9C00327DE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38100</xdr:rowOff>
    </xdr:from>
    <xdr:to>
      <xdr:col>19</xdr:col>
      <xdr:colOff>438150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88291-784B-C481-87E9-8E3F29EFF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54236</xdr:colOff>
      <xdr:row>0</xdr:row>
      <xdr:rowOff>0</xdr:rowOff>
    </xdr:from>
    <xdr:to>
      <xdr:col>19</xdr:col>
      <xdr:colOff>442856</xdr:colOff>
      <xdr:row>20</xdr:row>
      <xdr:rowOff>57374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0</xdr:row>
      <xdr:rowOff>22860</xdr:rowOff>
    </xdr:from>
    <xdr:to>
      <xdr:col>21</xdr:col>
      <xdr:colOff>68580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0</xdr:row>
      <xdr:rowOff>45720</xdr:rowOff>
    </xdr:from>
    <xdr:to>
      <xdr:col>19</xdr:col>
      <xdr:colOff>213360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0</xdr:row>
      <xdr:rowOff>68580</xdr:rowOff>
    </xdr:from>
    <xdr:to>
      <xdr:col>21</xdr:col>
      <xdr:colOff>99060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0</xdr:rowOff>
    </xdr:from>
    <xdr:to>
      <xdr:col>23</xdr:col>
      <xdr:colOff>22860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0</xdr:row>
      <xdr:rowOff>15240</xdr:rowOff>
    </xdr:from>
    <xdr:to>
      <xdr:col>19</xdr:col>
      <xdr:colOff>594360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C6EAE-9D8B-0CD8-56EB-4622AD079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93305</xdr:colOff>
      <xdr:row>15</xdr:row>
      <xdr:rowOff>94083</xdr:rowOff>
    </xdr:from>
    <xdr:to>
      <xdr:col>3</xdr:col>
      <xdr:colOff>870857</xdr:colOff>
      <xdr:row>29</xdr:row>
      <xdr:rowOff>116633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98101-5274-0DAA-0617-0DCAD5232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85531</xdr:colOff>
      <xdr:row>29</xdr:row>
      <xdr:rowOff>155510</xdr:rowOff>
    </xdr:from>
    <xdr:to>
      <xdr:col>3</xdr:col>
      <xdr:colOff>863083</xdr:colOff>
      <xdr:row>43</xdr:row>
      <xdr:rowOff>178059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30D3F3-EB1F-4042-97D6-19F7373DA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116633</xdr:colOff>
      <xdr:row>15</xdr:row>
      <xdr:rowOff>116632</xdr:rowOff>
    </xdr:from>
    <xdr:to>
      <xdr:col>12</xdr:col>
      <xdr:colOff>93307</xdr:colOff>
      <xdr:row>29</xdr:row>
      <xdr:rowOff>139182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3F0D1E-2269-4B10-9BC1-D21BBFA5F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15</xdr:row>
      <xdr:rowOff>108857</xdr:rowOff>
    </xdr:from>
    <xdr:to>
      <xdr:col>6</xdr:col>
      <xdr:colOff>777552</xdr:colOff>
      <xdr:row>29</xdr:row>
      <xdr:rowOff>131407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8098C7-4937-4FC9-85D3-07F59301B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1150776</xdr:colOff>
      <xdr:row>29</xdr:row>
      <xdr:rowOff>172617</xdr:rowOff>
    </xdr:from>
    <xdr:to>
      <xdr:col>6</xdr:col>
      <xdr:colOff>772887</xdr:colOff>
      <xdr:row>44</xdr:row>
      <xdr:rowOff>20996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BB9B4B-4C20-4050-93E9-9CF1DDC30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rket-risk-premia.com/gr.html" TargetMode="External"/><Relationship Id="rId2" Type="http://schemas.openxmlformats.org/officeDocument/2006/relationships/hyperlink" Target="https://www.statista.com/statistics/664934/average-market-risk-premium-greece-europe/?srsltid=AfmBOoo8uGbn_HRB_mTnHp_PEqVNxuytTNZWBtNWS-131ACsptJXMuBg" TargetMode="External"/><Relationship Id="rId1" Type="http://schemas.openxmlformats.org/officeDocument/2006/relationships/hyperlink" Target="https://www.investing.com/rates-bonds/greece-10-year-bond-yield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5"/>
  <sheetViews>
    <sheetView zoomScale="85" zoomScaleNormal="99" workbookViewId="0">
      <selection activeCell="P24" sqref="P24"/>
    </sheetView>
  </sheetViews>
  <sheetFormatPr defaultColWidth="9" defaultRowHeight="14.4" x14ac:dyDescent="0.25"/>
  <cols>
    <col min="1" max="1" width="11.88671875" customWidth="1"/>
    <col min="2" max="2" width="15.21875" customWidth="1"/>
    <col min="3" max="3" width="9.6640625" customWidth="1"/>
    <col min="4" max="4" width="9.44140625" style="88" customWidth="1"/>
    <col min="5" max="5" width="9.5546875" style="88" customWidth="1"/>
    <col min="7" max="8" width="12.109375" customWidth="1"/>
    <col min="9" max="9" width="11.109375" customWidth="1"/>
    <col min="10" max="12" width="12.109375" customWidth="1"/>
  </cols>
  <sheetData>
    <row r="1" spans="1:5" x14ac:dyDescent="0.25">
      <c r="A1" t="s">
        <v>0</v>
      </c>
      <c r="B1" t="s">
        <v>1</v>
      </c>
      <c r="C1" t="s">
        <v>2</v>
      </c>
      <c r="D1" s="88" t="s">
        <v>3</v>
      </c>
      <c r="E1" s="88" t="s">
        <v>2</v>
      </c>
    </row>
    <row r="2" spans="1:5" x14ac:dyDescent="0.25">
      <c r="A2" s="89">
        <v>43835</v>
      </c>
      <c r="B2">
        <v>5.38</v>
      </c>
      <c r="C2" s="82">
        <v>-2.5399999999999999E-2</v>
      </c>
      <c r="D2" s="88">
        <v>923.63</v>
      </c>
      <c r="E2" s="90">
        <v>3.8E-3</v>
      </c>
    </row>
    <row r="3" spans="1:5" x14ac:dyDescent="0.25">
      <c r="A3" s="89">
        <v>43842</v>
      </c>
      <c r="B3">
        <v>5.5</v>
      </c>
      <c r="C3" s="82">
        <v>2.23E-2</v>
      </c>
      <c r="D3" s="88">
        <v>934.22</v>
      </c>
      <c r="E3" s="90">
        <v>1.15E-2</v>
      </c>
    </row>
    <row r="4" spans="1:5" x14ac:dyDescent="0.25">
      <c r="A4" s="89">
        <v>43849</v>
      </c>
      <c r="B4">
        <v>5.66</v>
      </c>
      <c r="C4" s="82">
        <v>2.9100000000000001E-2</v>
      </c>
      <c r="D4" s="88">
        <v>948.64</v>
      </c>
      <c r="E4" s="90">
        <v>1.54E-2</v>
      </c>
    </row>
    <row r="5" spans="1:5" x14ac:dyDescent="0.25">
      <c r="A5" s="89">
        <v>43856</v>
      </c>
      <c r="B5">
        <v>5.42</v>
      </c>
      <c r="C5" s="82">
        <v>-4.24E-2</v>
      </c>
      <c r="D5" s="88">
        <v>910.9</v>
      </c>
      <c r="E5" s="90">
        <v>-3.9800000000000002E-2</v>
      </c>
    </row>
    <row r="6" spans="1:5" x14ac:dyDescent="0.25">
      <c r="A6" s="89">
        <v>43863</v>
      </c>
      <c r="B6">
        <v>5.46</v>
      </c>
      <c r="C6" s="82">
        <v>7.4000000000000003E-3</v>
      </c>
      <c r="D6" s="88">
        <v>910.91</v>
      </c>
      <c r="E6" s="90">
        <v>0</v>
      </c>
    </row>
    <row r="7" spans="1:5" x14ac:dyDescent="0.25">
      <c r="A7" s="89">
        <v>43870</v>
      </c>
      <c r="B7">
        <v>5.58</v>
      </c>
      <c r="C7" s="82">
        <v>2.1999999999999999E-2</v>
      </c>
      <c r="D7" s="88">
        <v>922.3</v>
      </c>
      <c r="E7" s="90">
        <v>1.2500000000000001E-2</v>
      </c>
    </row>
    <row r="8" spans="1:5" x14ac:dyDescent="0.25">
      <c r="A8" s="89">
        <v>43877</v>
      </c>
      <c r="B8">
        <v>5.42</v>
      </c>
      <c r="C8" s="82">
        <v>-2.87E-2</v>
      </c>
      <c r="D8" s="88">
        <v>893.03</v>
      </c>
      <c r="E8" s="90">
        <v>-3.1699999999999999E-2</v>
      </c>
    </row>
    <row r="9" spans="1:5" x14ac:dyDescent="0.25">
      <c r="A9" s="89">
        <v>43884</v>
      </c>
      <c r="B9">
        <v>4.6399999999999997</v>
      </c>
      <c r="C9" s="82">
        <v>-0.1439</v>
      </c>
      <c r="D9" s="88">
        <v>720.35</v>
      </c>
      <c r="E9" s="90">
        <v>-0.19339999999999999</v>
      </c>
    </row>
    <row r="10" spans="1:5" x14ac:dyDescent="0.25">
      <c r="A10" s="89">
        <v>43891</v>
      </c>
      <c r="B10">
        <v>4.4800000000000004</v>
      </c>
      <c r="C10" s="82">
        <v>-3.4500000000000003E-2</v>
      </c>
      <c r="D10" s="88">
        <v>684.74</v>
      </c>
      <c r="E10" s="90">
        <v>-4.9399999999999999E-2</v>
      </c>
    </row>
    <row r="11" spans="1:5" x14ac:dyDescent="0.25">
      <c r="A11" s="89">
        <v>43898</v>
      </c>
      <c r="B11">
        <v>3.85</v>
      </c>
      <c r="C11" s="82">
        <v>-0.1406</v>
      </c>
      <c r="D11" s="88">
        <v>551.97</v>
      </c>
      <c r="E11" s="90">
        <v>-0.19389999999999999</v>
      </c>
    </row>
    <row r="12" spans="1:5" x14ac:dyDescent="0.25">
      <c r="A12" s="89">
        <v>43905</v>
      </c>
      <c r="B12">
        <v>4.55</v>
      </c>
      <c r="C12" s="82">
        <v>0.18179999999999999</v>
      </c>
      <c r="D12" s="88">
        <v>555.13</v>
      </c>
      <c r="E12" s="90">
        <v>5.7000000000000002E-3</v>
      </c>
    </row>
    <row r="13" spans="1:5" x14ac:dyDescent="0.25">
      <c r="A13" s="89">
        <v>43912</v>
      </c>
      <c r="B13">
        <v>4.3499999999999996</v>
      </c>
      <c r="C13" s="82">
        <v>-4.3999999999999997E-2</v>
      </c>
      <c r="D13" s="88">
        <v>550.85</v>
      </c>
      <c r="E13" s="90">
        <v>-7.7000000000000002E-3</v>
      </c>
    </row>
    <row r="14" spans="1:5" x14ac:dyDescent="0.25">
      <c r="A14" s="89">
        <v>43919</v>
      </c>
      <c r="B14">
        <v>4.3</v>
      </c>
      <c r="C14" s="82">
        <v>-1.15E-2</v>
      </c>
      <c r="D14" s="88">
        <v>540.74</v>
      </c>
      <c r="E14" s="90">
        <v>-1.84E-2</v>
      </c>
    </row>
    <row r="15" spans="1:5" x14ac:dyDescent="0.25">
      <c r="A15" s="89">
        <v>43926</v>
      </c>
      <c r="B15">
        <v>4.5999999999999996</v>
      </c>
      <c r="C15" s="82">
        <v>6.9800000000000001E-2</v>
      </c>
      <c r="D15" s="88">
        <v>607.29</v>
      </c>
      <c r="E15" s="90">
        <v>0.1231</v>
      </c>
    </row>
    <row r="16" spans="1:5" x14ac:dyDescent="0.25">
      <c r="A16" s="89">
        <v>43933</v>
      </c>
      <c r="B16">
        <v>4.6500000000000004</v>
      </c>
      <c r="C16" s="82">
        <v>1.09E-2</v>
      </c>
      <c r="D16" s="88">
        <v>606.75</v>
      </c>
      <c r="E16" s="90">
        <v>-8.9999999999999998E-4</v>
      </c>
    </row>
    <row r="17" spans="1:9" x14ac:dyDescent="0.25">
      <c r="A17" s="89">
        <v>43940</v>
      </c>
      <c r="B17">
        <v>4.7699999999999996</v>
      </c>
      <c r="C17" s="82">
        <v>2.58E-2</v>
      </c>
      <c r="D17" s="88">
        <v>606.41</v>
      </c>
      <c r="E17" s="90">
        <v>-5.9999999999999995E-4</v>
      </c>
    </row>
    <row r="18" spans="1:9" x14ac:dyDescent="0.25">
      <c r="A18" s="89">
        <v>43947</v>
      </c>
      <c r="B18">
        <v>4.8600000000000003</v>
      </c>
      <c r="C18" s="82">
        <v>1.89E-2</v>
      </c>
      <c r="D18" s="88">
        <v>628.25</v>
      </c>
      <c r="E18" s="90">
        <v>3.5999999999999997E-2</v>
      </c>
    </row>
    <row r="19" spans="1:9" x14ac:dyDescent="0.25">
      <c r="A19" s="89">
        <v>43954</v>
      </c>
      <c r="B19">
        <v>4.9800000000000004</v>
      </c>
      <c r="C19" s="82">
        <v>2.47E-2</v>
      </c>
      <c r="D19" s="88">
        <v>604.04999999999995</v>
      </c>
      <c r="E19" s="90">
        <v>-3.85E-2</v>
      </c>
    </row>
    <row r="20" spans="1:9" x14ac:dyDescent="0.25">
      <c r="A20" s="89">
        <v>43961</v>
      </c>
      <c r="B20">
        <v>4.9000000000000004</v>
      </c>
      <c r="C20" s="82">
        <v>-1.61E-2</v>
      </c>
      <c r="D20" s="88">
        <v>593.26</v>
      </c>
      <c r="E20" s="90">
        <v>-1.7899999999999999E-2</v>
      </c>
    </row>
    <row r="21" spans="1:9" x14ac:dyDescent="0.25">
      <c r="A21" s="89">
        <v>43968</v>
      </c>
      <c r="B21">
        <v>5.0599999999999996</v>
      </c>
      <c r="C21" s="82">
        <v>3.27E-2</v>
      </c>
      <c r="D21" s="88">
        <v>609.20000000000005</v>
      </c>
      <c r="E21" s="90">
        <v>2.69E-2</v>
      </c>
    </row>
    <row r="22" spans="1:9" x14ac:dyDescent="0.25">
      <c r="A22" s="89">
        <v>43975</v>
      </c>
      <c r="B22">
        <v>5.34</v>
      </c>
      <c r="C22" s="82">
        <v>5.5300000000000002E-2</v>
      </c>
      <c r="D22" s="88">
        <v>652.58000000000004</v>
      </c>
      <c r="E22" s="90">
        <v>7.1199999999999999E-2</v>
      </c>
    </row>
    <row r="23" spans="1:9" x14ac:dyDescent="0.25">
      <c r="A23" s="89">
        <v>43982</v>
      </c>
      <c r="B23">
        <v>6</v>
      </c>
      <c r="C23" s="82">
        <v>0.1236</v>
      </c>
      <c r="D23" s="88">
        <v>683.46</v>
      </c>
      <c r="E23" s="90">
        <v>4.7300000000000002E-2</v>
      </c>
    </row>
    <row r="24" spans="1:9" x14ac:dyDescent="0.25">
      <c r="A24" s="89">
        <v>43989</v>
      </c>
      <c r="B24">
        <v>5.48</v>
      </c>
      <c r="C24" s="82">
        <v>-8.6699999999999999E-2</v>
      </c>
      <c r="D24" s="88">
        <v>646.79999999999995</v>
      </c>
      <c r="E24" s="90">
        <v>-5.3600000000000002E-2</v>
      </c>
    </row>
    <row r="25" spans="1:9" x14ac:dyDescent="0.25">
      <c r="A25" s="89">
        <v>43996</v>
      </c>
      <c r="B25">
        <v>5.4</v>
      </c>
      <c r="C25" s="82">
        <v>-1.46E-2</v>
      </c>
      <c r="D25" s="88">
        <v>668.34</v>
      </c>
      <c r="E25" s="90">
        <v>3.3300000000000003E-2</v>
      </c>
      <c r="H25" s="1" t="s">
        <v>4</v>
      </c>
    </row>
    <row r="26" spans="1:9" ht="15" x14ac:dyDescent="0.3">
      <c r="A26" s="89">
        <v>44003</v>
      </c>
      <c r="B26">
        <v>5.72</v>
      </c>
      <c r="C26" s="82">
        <v>5.9299999999999999E-2</v>
      </c>
      <c r="D26" s="88">
        <v>641.95000000000005</v>
      </c>
      <c r="E26" s="90">
        <v>-3.95E-2</v>
      </c>
      <c r="G26" s="49"/>
      <c r="H26" s="91">
        <f>(B365-B2)/B2</f>
        <v>2.71747211895911</v>
      </c>
      <c r="I26" s="91">
        <f>(D365-D2)/D2</f>
        <v>1.3030867338652901</v>
      </c>
    </row>
    <row r="27" spans="1:9" x14ac:dyDescent="0.25">
      <c r="A27" s="89">
        <v>44010</v>
      </c>
      <c r="B27">
        <v>5.82</v>
      </c>
      <c r="C27" s="82">
        <v>1.7500000000000002E-2</v>
      </c>
      <c r="D27" s="88">
        <v>658.55</v>
      </c>
      <c r="E27" s="90">
        <v>2.5899999999999999E-2</v>
      </c>
    </row>
    <row r="28" spans="1:9" x14ac:dyDescent="0.25">
      <c r="A28" s="89">
        <v>44017</v>
      </c>
      <c r="B28">
        <v>5.9</v>
      </c>
      <c r="C28" s="82">
        <v>1.37E-2</v>
      </c>
      <c r="D28" s="88">
        <v>632.97</v>
      </c>
      <c r="E28" s="90">
        <v>-3.8800000000000001E-2</v>
      </c>
    </row>
    <row r="29" spans="1:9" x14ac:dyDescent="0.25">
      <c r="A29" s="89">
        <v>44024</v>
      </c>
      <c r="B29">
        <v>5.94</v>
      </c>
      <c r="C29" s="82">
        <v>6.7999999999999996E-3</v>
      </c>
      <c r="D29" s="88">
        <v>641.48</v>
      </c>
      <c r="E29" s="90">
        <v>1.34E-2</v>
      </c>
    </row>
    <row r="30" spans="1:9" x14ac:dyDescent="0.25">
      <c r="A30" s="89">
        <v>44031</v>
      </c>
      <c r="B30">
        <v>5.82</v>
      </c>
      <c r="C30" s="82">
        <v>-2.0199999999999999E-2</v>
      </c>
      <c r="D30" s="88">
        <v>634.32000000000005</v>
      </c>
      <c r="E30" s="90">
        <v>-1.12E-2</v>
      </c>
    </row>
    <row r="31" spans="1:9" x14ac:dyDescent="0.25">
      <c r="A31" s="89">
        <v>44038</v>
      </c>
      <c r="B31">
        <v>5.74</v>
      </c>
      <c r="C31" s="82">
        <v>-1.37E-2</v>
      </c>
      <c r="D31" s="88">
        <v>617.61</v>
      </c>
      <c r="E31" s="90">
        <v>-2.63E-2</v>
      </c>
    </row>
    <row r="32" spans="1:9" x14ac:dyDescent="0.25">
      <c r="A32" s="89">
        <v>44045</v>
      </c>
      <c r="B32">
        <v>6.24</v>
      </c>
      <c r="C32" s="82">
        <v>8.7099999999999997E-2</v>
      </c>
      <c r="D32" s="88">
        <v>632.63</v>
      </c>
      <c r="E32" s="90">
        <v>2.4299999999999999E-2</v>
      </c>
    </row>
    <row r="33" spans="1:5" x14ac:dyDescent="0.25">
      <c r="A33" s="89">
        <v>44052</v>
      </c>
      <c r="B33">
        <v>5.9</v>
      </c>
      <c r="C33" s="82">
        <v>-5.45E-2</v>
      </c>
      <c r="D33" s="88">
        <v>634.37</v>
      </c>
      <c r="E33" s="90">
        <v>2.8E-3</v>
      </c>
    </row>
    <row r="34" spans="1:5" x14ac:dyDescent="0.25">
      <c r="A34" s="89">
        <v>44059</v>
      </c>
      <c r="B34">
        <v>5.9</v>
      </c>
      <c r="C34" s="82">
        <v>0</v>
      </c>
      <c r="D34" s="88">
        <v>633.27</v>
      </c>
      <c r="E34" s="90">
        <v>-1.6999999999999999E-3</v>
      </c>
    </row>
    <row r="35" spans="1:5" x14ac:dyDescent="0.25">
      <c r="A35" s="89">
        <v>44066</v>
      </c>
      <c r="B35">
        <v>5.94</v>
      </c>
      <c r="C35" s="82">
        <v>6.7999999999999996E-3</v>
      </c>
      <c r="D35" s="88">
        <v>634.47</v>
      </c>
      <c r="E35" s="90">
        <v>1.9E-3</v>
      </c>
    </row>
    <row r="36" spans="1:5" x14ac:dyDescent="0.25">
      <c r="A36" s="89">
        <v>44073</v>
      </c>
      <c r="B36">
        <v>5.98</v>
      </c>
      <c r="C36" s="82">
        <v>6.7000000000000002E-3</v>
      </c>
      <c r="D36" s="88">
        <v>639.29</v>
      </c>
      <c r="E36" s="90">
        <v>7.6E-3</v>
      </c>
    </row>
    <row r="37" spans="1:5" x14ac:dyDescent="0.25">
      <c r="A37" s="89">
        <v>44080</v>
      </c>
      <c r="B37">
        <v>5.8</v>
      </c>
      <c r="C37" s="82">
        <v>-3.0099999999999998E-2</v>
      </c>
      <c r="D37" s="88">
        <v>636.03</v>
      </c>
      <c r="E37" s="90">
        <v>-5.1000000000000004E-3</v>
      </c>
    </row>
    <row r="38" spans="1:5" x14ac:dyDescent="0.25">
      <c r="A38" s="89">
        <v>44087</v>
      </c>
      <c r="B38">
        <v>6.06</v>
      </c>
      <c r="C38" s="82">
        <v>4.48E-2</v>
      </c>
      <c r="D38" s="88">
        <v>658.54</v>
      </c>
      <c r="E38" s="90">
        <v>3.5400000000000001E-2</v>
      </c>
    </row>
    <row r="39" spans="1:5" x14ac:dyDescent="0.25">
      <c r="A39" s="89">
        <v>44094</v>
      </c>
      <c r="B39">
        <v>6.02</v>
      </c>
      <c r="C39" s="82">
        <v>-6.6E-3</v>
      </c>
      <c r="D39" s="88">
        <v>617.9</v>
      </c>
      <c r="E39" s="90">
        <v>-6.1699999999999998E-2</v>
      </c>
    </row>
    <row r="40" spans="1:5" x14ac:dyDescent="0.25">
      <c r="A40" s="89">
        <v>44101</v>
      </c>
      <c r="B40">
        <v>6.16</v>
      </c>
      <c r="C40" s="82">
        <v>2.3300000000000001E-2</v>
      </c>
      <c r="D40" s="88">
        <v>625.66999999999996</v>
      </c>
      <c r="E40" s="90">
        <v>1.26E-2</v>
      </c>
    </row>
    <row r="41" spans="1:5" x14ac:dyDescent="0.25">
      <c r="A41" s="89">
        <v>44108</v>
      </c>
      <c r="B41">
        <v>6.56</v>
      </c>
      <c r="C41" s="82">
        <v>6.4899999999999999E-2</v>
      </c>
      <c r="D41" s="88">
        <v>651.47</v>
      </c>
      <c r="E41" s="90">
        <v>4.1200000000000001E-2</v>
      </c>
    </row>
    <row r="42" spans="1:5" x14ac:dyDescent="0.25">
      <c r="A42" s="89">
        <v>44115</v>
      </c>
      <c r="B42">
        <v>6.3</v>
      </c>
      <c r="C42" s="82">
        <v>-3.9600000000000003E-2</v>
      </c>
      <c r="D42" s="88">
        <v>620.17999999999995</v>
      </c>
      <c r="E42" s="90">
        <v>-4.8000000000000001E-2</v>
      </c>
    </row>
    <row r="43" spans="1:5" x14ac:dyDescent="0.25">
      <c r="A43" s="89">
        <v>44122</v>
      </c>
      <c r="B43">
        <v>6.34</v>
      </c>
      <c r="C43" s="82">
        <v>6.3E-3</v>
      </c>
      <c r="D43" s="88">
        <v>612.32000000000005</v>
      </c>
      <c r="E43" s="90">
        <v>-1.2699999999999999E-2</v>
      </c>
    </row>
    <row r="44" spans="1:5" x14ac:dyDescent="0.25">
      <c r="A44" s="89">
        <v>44129</v>
      </c>
      <c r="B44">
        <v>6.18</v>
      </c>
      <c r="C44" s="82">
        <v>-2.52E-2</v>
      </c>
      <c r="D44" s="88">
        <v>569.5</v>
      </c>
      <c r="E44" s="90">
        <v>-6.9900000000000004E-2</v>
      </c>
    </row>
    <row r="45" spans="1:5" x14ac:dyDescent="0.25">
      <c r="A45" s="89">
        <v>44136</v>
      </c>
      <c r="B45">
        <v>6.26</v>
      </c>
      <c r="C45" s="82">
        <v>1.29E-2</v>
      </c>
      <c r="D45" s="88">
        <v>588.1</v>
      </c>
      <c r="E45" s="90">
        <v>3.27E-2</v>
      </c>
    </row>
    <row r="46" spans="1:5" x14ac:dyDescent="0.25">
      <c r="A46" s="89">
        <v>44143</v>
      </c>
      <c r="B46">
        <v>6.3</v>
      </c>
      <c r="C46" s="82">
        <v>6.4000000000000003E-3</v>
      </c>
      <c r="D46" s="88">
        <v>655.68</v>
      </c>
      <c r="E46" s="90">
        <v>0.1149</v>
      </c>
    </row>
    <row r="47" spans="1:5" x14ac:dyDescent="0.25">
      <c r="A47" s="89">
        <v>44150</v>
      </c>
      <c r="B47">
        <v>6.42</v>
      </c>
      <c r="C47" s="82">
        <v>1.9E-2</v>
      </c>
      <c r="D47" s="88">
        <v>699.45</v>
      </c>
      <c r="E47" s="90">
        <v>6.6799999999999998E-2</v>
      </c>
    </row>
    <row r="48" spans="1:5" x14ac:dyDescent="0.25">
      <c r="A48" s="89">
        <v>44157</v>
      </c>
      <c r="B48">
        <v>6.42</v>
      </c>
      <c r="C48" s="82">
        <v>0</v>
      </c>
      <c r="D48" s="88">
        <v>736.6</v>
      </c>
      <c r="E48" s="90">
        <v>5.3100000000000001E-2</v>
      </c>
    </row>
    <row r="49" spans="1:5" x14ac:dyDescent="0.25">
      <c r="A49" s="89">
        <v>44164</v>
      </c>
      <c r="B49">
        <v>6.4</v>
      </c>
      <c r="C49" s="82">
        <v>-3.0999999999999999E-3</v>
      </c>
      <c r="D49" s="88">
        <v>784.95</v>
      </c>
      <c r="E49" s="90">
        <v>6.5600000000000006E-2</v>
      </c>
    </row>
    <row r="50" spans="1:5" x14ac:dyDescent="0.25">
      <c r="A50" s="89">
        <v>44171</v>
      </c>
      <c r="B50">
        <v>6.4</v>
      </c>
      <c r="C50" s="82">
        <v>0</v>
      </c>
      <c r="D50" s="88">
        <v>779.04</v>
      </c>
      <c r="E50" s="90">
        <v>-7.4999999999999997E-3</v>
      </c>
    </row>
    <row r="51" spans="1:5" x14ac:dyDescent="0.25">
      <c r="A51" s="89">
        <v>44178</v>
      </c>
      <c r="B51">
        <v>6.66</v>
      </c>
      <c r="C51" s="82">
        <v>4.0599999999999997E-2</v>
      </c>
      <c r="D51" s="88">
        <v>800.06</v>
      </c>
      <c r="E51" s="90">
        <v>2.7E-2</v>
      </c>
    </row>
    <row r="52" spans="1:5" x14ac:dyDescent="0.25">
      <c r="A52" s="89">
        <v>44185</v>
      </c>
      <c r="B52">
        <v>6.44</v>
      </c>
      <c r="C52" s="82">
        <v>-3.3000000000000002E-2</v>
      </c>
      <c r="D52" s="88">
        <v>787.48</v>
      </c>
      <c r="E52" s="90">
        <v>-1.5699999999999999E-2</v>
      </c>
    </row>
    <row r="53" spans="1:5" x14ac:dyDescent="0.25">
      <c r="A53" s="89">
        <v>44192</v>
      </c>
      <c r="B53">
        <v>6.54</v>
      </c>
      <c r="C53" s="82">
        <v>1.55E-2</v>
      </c>
      <c r="D53" s="88">
        <v>808.99</v>
      </c>
      <c r="E53" s="90">
        <v>2.7300000000000001E-2</v>
      </c>
    </row>
    <row r="54" spans="1:5" x14ac:dyDescent="0.25">
      <c r="A54" s="89">
        <v>44199</v>
      </c>
      <c r="B54">
        <v>6.6</v>
      </c>
      <c r="C54" s="82">
        <v>9.1999999999999998E-3</v>
      </c>
      <c r="D54" s="88">
        <v>819.27</v>
      </c>
      <c r="E54" s="90">
        <v>1.2699999999999999E-2</v>
      </c>
    </row>
    <row r="55" spans="1:5" x14ac:dyDescent="0.25">
      <c r="A55" s="89">
        <v>44206</v>
      </c>
      <c r="B55">
        <v>6.6</v>
      </c>
      <c r="C55" s="82">
        <v>0</v>
      </c>
      <c r="D55" s="88">
        <v>790.14</v>
      </c>
      <c r="E55" s="90">
        <v>-3.56E-2</v>
      </c>
    </row>
    <row r="56" spans="1:5" x14ac:dyDescent="0.25">
      <c r="A56" s="89">
        <v>44213</v>
      </c>
      <c r="B56">
        <v>6.62</v>
      </c>
      <c r="C56" s="82">
        <v>3.0000000000000001E-3</v>
      </c>
      <c r="D56" s="88">
        <v>778.98</v>
      </c>
      <c r="E56" s="90">
        <v>-1.41E-2</v>
      </c>
    </row>
    <row r="57" spans="1:5" x14ac:dyDescent="0.25">
      <c r="A57" s="89">
        <v>44220</v>
      </c>
      <c r="B57">
        <v>6.66</v>
      </c>
      <c r="C57" s="82">
        <v>6.0000000000000001E-3</v>
      </c>
      <c r="D57" s="88">
        <v>749.46</v>
      </c>
      <c r="E57" s="90">
        <v>-3.7900000000000003E-2</v>
      </c>
    </row>
    <row r="58" spans="1:5" x14ac:dyDescent="0.25">
      <c r="A58" s="89">
        <v>44227</v>
      </c>
      <c r="B58">
        <v>6.94</v>
      </c>
      <c r="C58" s="82">
        <v>4.2000000000000003E-2</v>
      </c>
      <c r="D58" s="88">
        <v>764.6</v>
      </c>
      <c r="E58" s="90">
        <v>2.0199999999999999E-2</v>
      </c>
    </row>
    <row r="59" spans="1:5" x14ac:dyDescent="0.25">
      <c r="A59" s="89">
        <v>44234</v>
      </c>
      <c r="B59">
        <v>7.1</v>
      </c>
      <c r="C59" s="82">
        <v>2.3099999999999999E-2</v>
      </c>
      <c r="D59" s="88">
        <v>776.09</v>
      </c>
      <c r="E59" s="90">
        <v>1.4999999999999999E-2</v>
      </c>
    </row>
    <row r="60" spans="1:5" x14ac:dyDescent="0.25">
      <c r="A60" s="89">
        <v>44241</v>
      </c>
      <c r="B60">
        <v>7</v>
      </c>
      <c r="C60" s="82">
        <v>-1.41E-2</v>
      </c>
      <c r="D60" s="88">
        <v>781.42</v>
      </c>
      <c r="E60" s="90">
        <v>6.8999999999999999E-3</v>
      </c>
    </row>
    <row r="61" spans="1:5" x14ac:dyDescent="0.25">
      <c r="A61" s="89">
        <v>44248</v>
      </c>
      <c r="B61">
        <v>7.28</v>
      </c>
      <c r="C61" s="82">
        <v>0.04</v>
      </c>
      <c r="D61" s="88">
        <v>792.38</v>
      </c>
      <c r="E61" s="90">
        <v>1.4E-2</v>
      </c>
    </row>
    <row r="62" spans="1:5" x14ac:dyDescent="0.25">
      <c r="A62" s="89">
        <v>44255</v>
      </c>
      <c r="B62">
        <v>7.26</v>
      </c>
      <c r="C62" s="82">
        <v>-2.7000000000000001E-3</v>
      </c>
      <c r="D62" s="88">
        <v>825.02</v>
      </c>
      <c r="E62" s="90">
        <v>4.1200000000000001E-2</v>
      </c>
    </row>
    <row r="63" spans="1:5" x14ac:dyDescent="0.25">
      <c r="A63" s="89">
        <v>44262</v>
      </c>
      <c r="B63">
        <v>7.26</v>
      </c>
      <c r="C63" s="82">
        <v>0</v>
      </c>
      <c r="D63" s="88">
        <v>849.81</v>
      </c>
      <c r="E63" s="90">
        <v>0.03</v>
      </c>
    </row>
    <row r="64" spans="1:5" x14ac:dyDescent="0.25">
      <c r="A64" s="89">
        <v>44269</v>
      </c>
      <c r="B64">
        <v>7.4</v>
      </c>
      <c r="C64" s="82">
        <v>1.9300000000000001E-2</v>
      </c>
      <c r="D64" s="88">
        <v>833.07</v>
      </c>
      <c r="E64" s="90">
        <v>-1.9699999999999999E-2</v>
      </c>
    </row>
    <row r="65" spans="1:5" x14ac:dyDescent="0.25">
      <c r="A65" s="89">
        <v>44276</v>
      </c>
      <c r="B65">
        <v>7.46</v>
      </c>
      <c r="C65" s="82">
        <v>8.0999999999999996E-3</v>
      </c>
      <c r="D65" s="88">
        <v>851.82</v>
      </c>
      <c r="E65" s="90">
        <v>2.2499999999999999E-2</v>
      </c>
    </row>
    <row r="66" spans="1:5" x14ac:dyDescent="0.25">
      <c r="A66" s="89">
        <v>44283</v>
      </c>
      <c r="B66">
        <v>7.7</v>
      </c>
      <c r="C66" s="82">
        <v>3.2199999999999999E-2</v>
      </c>
      <c r="D66" s="88">
        <v>875.22</v>
      </c>
      <c r="E66" s="90">
        <v>2.75E-2</v>
      </c>
    </row>
    <row r="67" spans="1:5" x14ac:dyDescent="0.25">
      <c r="A67" s="89">
        <v>44290</v>
      </c>
      <c r="B67">
        <v>7.76</v>
      </c>
      <c r="C67" s="82">
        <v>7.7999999999999996E-3</v>
      </c>
      <c r="D67" s="88">
        <v>891.69</v>
      </c>
      <c r="E67" s="90">
        <v>1.8800000000000001E-2</v>
      </c>
    </row>
    <row r="68" spans="1:5" x14ac:dyDescent="0.25">
      <c r="A68" s="89">
        <v>44297</v>
      </c>
      <c r="B68">
        <v>7.6</v>
      </c>
      <c r="C68" s="82">
        <v>-2.06E-2</v>
      </c>
      <c r="D68" s="88">
        <v>898.63</v>
      </c>
      <c r="E68" s="90">
        <v>7.7999999999999996E-3</v>
      </c>
    </row>
    <row r="69" spans="1:5" x14ac:dyDescent="0.25">
      <c r="A69" s="89">
        <v>44304</v>
      </c>
      <c r="B69">
        <v>7.5</v>
      </c>
      <c r="C69" s="82">
        <v>-1.32E-2</v>
      </c>
      <c r="D69" s="88">
        <v>899.58</v>
      </c>
      <c r="E69" s="90">
        <v>1.1000000000000001E-3</v>
      </c>
    </row>
    <row r="70" spans="1:5" x14ac:dyDescent="0.25">
      <c r="A70" s="89">
        <v>44311</v>
      </c>
      <c r="B70">
        <v>7.72</v>
      </c>
      <c r="C70" s="82">
        <v>2.93E-2</v>
      </c>
      <c r="D70" s="88">
        <v>910.37</v>
      </c>
      <c r="E70" s="90">
        <v>1.2E-2</v>
      </c>
    </row>
    <row r="71" spans="1:5" x14ac:dyDescent="0.25">
      <c r="A71" s="89">
        <v>44318</v>
      </c>
      <c r="B71">
        <v>7.6</v>
      </c>
      <c r="C71" s="82">
        <v>-1.55E-2</v>
      </c>
      <c r="D71" s="88">
        <v>897.01</v>
      </c>
      <c r="E71" s="90">
        <v>-1.47E-2</v>
      </c>
    </row>
    <row r="72" spans="1:5" x14ac:dyDescent="0.25">
      <c r="A72" s="89">
        <v>44325</v>
      </c>
      <c r="B72">
        <v>7.46</v>
      </c>
      <c r="C72" s="82">
        <v>-1.84E-2</v>
      </c>
      <c r="D72" s="88">
        <v>907.08</v>
      </c>
      <c r="E72" s="90">
        <v>1.12E-2</v>
      </c>
    </row>
    <row r="73" spans="1:5" x14ac:dyDescent="0.25">
      <c r="A73" s="89">
        <v>44332</v>
      </c>
      <c r="B73">
        <v>7.44</v>
      </c>
      <c r="C73" s="82">
        <v>-2.7000000000000001E-3</v>
      </c>
      <c r="D73" s="88">
        <v>867.56</v>
      </c>
      <c r="E73" s="90">
        <v>-4.36E-2</v>
      </c>
    </row>
    <row r="74" spans="1:5" x14ac:dyDescent="0.25">
      <c r="A74" s="89">
        <v>44339</v>
      </c>
      <c r="B74">
        <v>7.64</v>
      </c>
      <c r="C74" s="82">
        <v>2.69E-2</v>
      </c>
      <c r="D74" s="88">
        <v>887.6</v>
      </c>
      <c r="E74" s="90">
        <v>2.3099999999999999E-2</v>
      </c>
    </row>
    <row r="75" spans="1:5" x14ac:dyDescent="0.25">
      <c r="A75" s="89">
        <v>44346</v>
      </c>
      <c r="B75">
        <v>7.74</v>
      </c>
      <c r="C75" s="82">
        <v>1.3100000000000001E-2</v>
      </c>
      <c r="D75" s="88">
        <v>901.6</v>
      </c>
      <c r="E75" s="90">
        <v>1.5800000000000002E-2</v>
      </c>
    </row>
    <row r="76" spans="1:5" x14ac:dyDescent="0.25">
      <c r="A76" s="89">
        <v>44353</v>
      </c>
      <c r="B76">
        <v>7.9</v>
      </c>
      <c r="C76" s="82">
        <v>2.07E-2</v>
      </c>
      <c r="D76" s="88">
        <v>925.83</v>
      </c>
      <c r="E76" s="90">
        <v>2.69E-2</v>
      </c>
    </row>
    <row r="77" spans="1:5" x14ac:dyDescent="0.25">
      <c r="A77" s="89">
        <v>44360</v>
      </c>
      <c r="B77">
        <v>8.0399999999999991</v>
      </c>
      <c r="C77" s="82">
        <v>1.77E-2</v>
      </c>
      <c r="D77" s="88">
        <v>905.55</v>
      </c>
      <c r="E77" s="90">
        <v>-2.1899999999999999E-2</v>
      </c>
    </row>
    <row r="78" spans="1:5" x14ac:dyDescent="0.25">
      <c r="A78" s="89">
        <v>44367</v>
      </c>
      <c r="B78">
        <v>8.5</v>
      </c>
      <c r="C78" s="82">
        <v>5.7200000000000001E-2</v>
      </c>
      <c r="D78" s="88">
        <v>907.76</v>
      </c>
      <c r="E78" s="90">
        <v>2.3999999999999998E-3</v>
      </c>
    </row>
    <row r="79" spans="1:5" x14ac:dyDescent="0.25">
      <c r="A79" s="89">
        <v>44374</v>
      </c>
      <c r="B79">
        <v>8.8000000000000007</v>
      </c>
      <c r="C79" s="82">
        <v>3.5299999999999998E-2</v>
      </c>
      <c r="D79" s="88">
        <v>886.66</v>
      </c>
      <c r="E79" s="90">
        <v>-2.3199999999999998E-2</v>
      </c>
    </row>
    <row r="80" spans="1:5" x14ac:dyDescent="0.25">
      <c r="A80" s="89">
        <v>44381</v>
      </c>
      <c r="B80">
        <v>8.64</v>
      </c>
      <c r="C80" s="82">
        <v>-1.8200000000000001E-2</v>
      </c>
      <c r="D80" s="88">
        <v>874.25</v>
      </c>
      <c r="E80" s="90">
        <v>-1.4E-2</v>
      </c>
    </row>
    <row r="81" spans="1:5" x14ac:dyDescent="0.25">
      <c r="A81" s="89">
        <v>44388</v>
      </c>
      <c r="B81">
        <v>8.6</v>
      </c>
      <c r="C81" s="82">
        <v>-4.5999999999999999E-3</v>
      </c>
      <c r="D81" s="88">
        <v>866.81</v>
      </c>
      <c r="E81" s="90">
        <v>-8.5000000000000006E-3</v>
      </c>
    </row>
    <row r="82" spans="1:5" x14ac:dyDescent="0.25">
      <c r="A82" s="89">
        <v>44395</v>
      </c>
      <c r="B82">
        <v>8.66</v>
      </c>
      <c r="C82" s="82">
        <v>7.0000000000000001E-3</v>
      </c>
      <c r="D82" s="88">
        <v>864.44</v>
      </c>
      <c r="E82" s="90">
        <v>-2.7000000000000001E-3</v>
      </c>
    </row>
    <row r="83" spans="1:5" x14ac:dyDescent="0.25">
      <c r="A83" s="89">
        <v>44402</v>
      </c>
      <c r="B83">
        <v>8.8000000000000007</v>
      </c>
      <c r="C83" s="82">
        <v>1.6199999999999999E-2</v>
      </c>
      <c r="D83" s="88">
        <v>888.26</v>
      </c>
      <c r="E83" s="90">
        <v>2.76E-2</v>
      </c>
    </row>
    <row r="84" spans="1:5" x14ac:dyDescent="0.25">
      <c r="A84" s="89">
        <v>44409</v>
      </c>
      <c r="B84">
        <v>8.74</v>
      </c>
      <c r="C84" s="82">
        <v>-6.7999999999999996E-3</v>
      </c>
      <c r="D84" s="88">
        <v>893.47</v>
      </c>
      <c r="E84" s="90">
        <v>5.8999999999999999E-3</v>
      </c>
    </row>
    <row r="85" spans="1:5" x14ac:dyDescent="0.25">
      <c r="A85" s="89">
        <v>44416</v>
      </c>
      <c r="B85">
        <v>8.44</v>
      </c>
      <c r="C85" s="82">
        <v>-3.4299999999999997E-2</v>
      </c>
      <c r="D85" s="88">
        <v>895.29</v>
      </c>
      <c r="E85" s="90">
        <v>2E-3</v>
      </c>
    </row>
    <row r="86" spans="1:5" x14ac:dyDescent="0.25">
      <c r="A86" s="89">
        <v>44423</v>
      </c>
      <c r="B86">
        <v>8.5</v>
      </c>
      <c r="C86" s="82">
        <v>7.1000000000000004E-3</v>
      </c>
      <c r="D86" s="88">
        <v>883.11</v>
      </c>
      <c r="E86" s="90">
        <v>-1.3599999999999999E-2</v>
      </c>
    </row>
    <row r="87" spans="1:5" x14ac:dyDescent="0.25">
      <c r="A87" s="89">
        <v>44430</v>
      </c>
      <c r="B87">
        <v>8.5</v>
      </c>
      <c r="C87" s="82">
        <v>0</v>
      </c>
      <c r="D87" s="88">
        <v>914.39</v>
      </c>
      <c r="E87" s="90">
        <v>3.5400000000000001E-2</v>
      </c>
    </row>
    <row r="88" spans="1:5" x14ac:dyDescent="0.25">
      <c r="A88" s="89">
        <v>44437</v>
      </c>
      <c r="B88">
        <v>8.52</v>
      </c>
      <c r="C88" s="82">
        <v>2.3999999999999998E-3</v>
      </c>
      <c r="D88" s="88">
        <v>915.05</v>
      </c>
      <c r="E88" s="90">
        <v>6.9999999999999999E-4</v>
      </c>
    </row>
    <row r="89" spans="1:5" x14ac:dyDescent="0.25">
      <c r="A89" s="89">
        <v>44444</v>
      </c>
      <c r="B89">
        <v>8.1999999999999993</v>
      </c>
      <c r="C89" s="82">
        <v>-3.7600000000000001E-2</v>
      </c>
      <c r="D89" s="88">
        <v>901.13</v>
      </c>
      <c r="E89" s="90">
        <v>-1.52E-2</v>
      </c>
    </row>
    <row r="90" spans="1:5" x14ac:dyDescent="0.25">
      <c r="A90" s="89">
        <v>44451</v>
      </c>
      <c r="B90">
        <v>8.3800000000000008</v>
      </c>
      <c r="C90" s="82">
        <v>2.1999999999999999E-2</v>
      </c>
      <c r="D90" s="88">
        <v>912.81</v>
      </c>
      <c r="E90" s="90">
        <v>1.2999999999999999E-2</v>
      </c>
    </row>
    <row r="91" spans="1:5" x14ac:dyDescent="0.25">
      <c r="A91" s="89">
        <v>44458</v>
      </c>
      <c r="B91">
        <v>7.64</v>
      </c>
      <c r="C91" s="82">
        <v>-8.8300000000000003E-2</v>
      </c>
      <c r="D91" s="88">
        <v>873.1</v>
      </c>
      <c r="E91" s="90">
        <v>-4.3499999999999997E-2</v>
      </c>
    </row>
    <row r="92" spans="1:5" x14ac:dyDescent="0.25">
      <c r="A92" s="89">
        <v>44465</v>
      </c>
      <c r="B92">
        <v>7.56</v>
      </c>
      <c r="C92" s="82">
        <v>-1.0500000000000001E-2</v>
      </c>
      <c r="D92" s="88">
        <v>871.06</v>
      </c>
      <c r="E92" s="90">
        <v>-2.3E-3</v>
      </c>
    </row>
    <row r="93" spans="1:5" x14ac:dyDescent="0.25">
      <c r="A93" s="89">
        <v>44472</v>
      </c>
      <c r="B93">
        <v>7.7</v>
      </c>
      <c r="C93" s="82">
        <v>1.8499999999999999E-2</v>
      </c>
      <c r="D93" s="88">
        <v>892.6</v>
      </c>
      <c r="E93" s="90">
        <v>2.47E-2</v>
      </c>
    </row>
    <row r="94" spans="1:5" x14ac:dyDescent="0.25">
      <c r="A94" s="89">
        <v>44479</v>
      </c>
      <c r="B94">
        <v>7.96</v>
      </c>
      <c r="C94" s="82">
        <v>3.3799999999999997E-2</v>
      </c>
      <c r="D94" s="88">
        <v>894.74</v>
      </c>
      <c r="E94" s="90">
        <v>2.3999999999999998E-3</v>
      </c>
    </row>
    <row r="95" spans="1:5" x14ac:dyDescent="0.25">
      <c r="A95" s="89">
        <v>44486</v>
      </c>
      <c r="B95">
        <v>8.3000000000000007</v>
      </c>
      <c r="C95" s="82">
        <v>4.2700000000000002E-2</v>
      </c>
      <c r="D95" s="88">
        <v>905.04</v>
      </c>
      <c r="E95" s="90">
        <v>1.15E-2</v>
      </c>
    </row>
    <row r="96" spans="1:5" x14ac:dyDescent="0.25">
      <c r="A96" s="89">
        <v>44493</v>
      </c>
      <c r="B96">
        <v>7.98</v>
      </c>
      <c r="C96" s="82">
        <v>-3.8600000000000002E-2</v>
      </c>
      <c r="D96" s="88">
        <v>898.06</v>
      </c>
      <c r="E96" s="90">
        <v>-7.7000000000000002E-3</v>
      </c>
    </row>
    <row r="97" spans="1:5" x14ac:dyDescent="0.25">
      <c r="A97" s="89">
        <v>44500</v>
      </c>
      <c r="B97">
        <v>7.96</v>
      </c>
      <c r="C97" s="82">
        <v>-2.5000000000000001E-3</v>
      </c>
      <c r="D97" s="88">
        <v>906.85</v>
      </c>
      <c r="E97" s="90">
        <v>9.7999999999999997E-3</v>
      </c>
    </row>
    <row r="98" spans="1:5" x14ac:dyDescent="0.25">
      <c r="A98" s="89">
        <v>44507</v>
      </c>
      <c r="B98">
        <v>8.2799999999999994</v>
      </c>
      <c r="C98" s="82">
        <v>4.02E-2</v>
      </c>
      <c r="D98" s="88">
        <v>913.94</v>
      </c>
      <c r="E98" s="90">
        <v>7.7999999999999996E-3</v>
      </c>
    </row>
    <row r="99" spans="1:5" x14ac:dyDescent="0.25">
      <c r="A99" s="89">
        <v>44514</v>
      </c>
      <c r="B99">
        <v>8.26</v>
      </c>
      <c r="C99" s="82">
        <v>-2.3999999999999998E-3</v>
      </c>
      <c r="D99" s="88">
        <v>915.02</v>
      </c>
      <c r="E99" s="90">
        <v>1.1999999999999999E-3</v>
      </c>
    </row>
    <row r="100" spans="1:5" x14ac:dyDescent="0.25">
      <c r="A100" s="89">
        <v>44521</v>
      </c>
      <c r="B100">
        <v>8.06</v>
      </c>
      <c r="C100" s="82">
        <v>-2.4199999999999999E-2</v>
      </c>
      <c r="D100" s="88">
        <v>858.93</v>
      </c>
      <c r="E100" s="90">
        <v>-6.13E-2</v>
      </c>
    </row>
    <row r="101" spans="1:5" x14ac:dyDescent="0.25">
      <c r="A101" s="89">
        <v>44528</v>
      </c>
      <c r="B101">
        <v>8.3000000000000007</v>
      </c>
      <c r="C101" s="82">
        <v>2.98E-2</v>
      </c>
      <c r="D101" s="88">
        <v>879.23</v>
      </c>
      <c r="E101" s="90">
        <v>2.3599999999999999E-2</v>
      </c>
    </row>
    <row r="102" spans="1:5" x14ac:dyDescent="0.25">
      <c r="A102" s="89">
        <v>44535</v>
      </c>
      <c r="B102">
        <v>8.1</v>
      </c>
      <c r="C102" s="82">
        <v>-2.41E-2</v>
      </c>
      <c r="D102" s="88">
        <v>898.63</v>
      </c>
      <c r="E102" s="90">
        <v>2.2100000000000002E-2</v>
      </c>
    </row>
    <row r="103" spans="1:5" x14ac:dyDescent="0.25">
      <c r="A103" s="89">
        <v>44542</v>
      </c>
      <c r="B103">
        <v>8.06</v>
      </c>
      <c r="C103" s="82">
        <v>-4.8999999999999998E-3</v>
      </c>
      <c r="D103" s="88">
        <v>887.5</v>
      </c>
      <c r="E103" s="90">
        <v>-1.24E-2</v>
      </c>
    </row>
    <row r="104" spans="1:5" x14ac:dyDescent="0.25">
      <c r="A104" s="89">
        <v>44549</v>
      </c>
      <c r="B104">
        <v>8.5</v>
      </c>
      <c r="C104" s="82">
        <v>5.4600000000000003E-2</v>
      </c>
      <c r="D104" s="88">
        <v>890.73</v>
      </c>
      <c r="E104" s="90">
        <v>3.5999999999999999E-3</v>
      </c>
    </row>
    <row r="105" spans="1:5" x14ac:dyDescent="0.25">
      <c r="A105" s="89">
        <v>44556</v>
      </c>
      <c r="B105">
        <v>8.5</v>
      </c>
      <c r="C105" s="82">
        <v>0</v>
      </c>
      <c r="D105" s="88">
        <v>893.34</v>
      </c>
      <c r="E105" s="90">
        <v>2.8999999999999998E-3</v>
      </c>
    </row>
    <row r="106" spans="1:5" x14ac:dyDescent="0.25">
      <c r="A106" s="89">
        <v>44563</v>
      </c>
      <c r="B106">
        <v>8.42</v>
      </c>
      <c r="C106" s="82">
        <v>-9.4000000000000004E-3</v>
      </c>
      <c r="D106" s="88">
        <v>906.48</v>
      </c>
      <c r="E106" s="90">
        <v>1.47E-2</v>
      </c>
    </row>
    <row r="107" spans="1:5" x14ac:dyDescent="0.25">
      <c r="A107" s="89">
        <v>44570</v>
      </c>
      <c r="B107">
        <v>8.4600000000000009</v>
      </c>
      <c r="C107" s="82">
        <v>4.7999999999999996E-3</v>
      </c>
      <c r="D107" s="88">
        <v>949.39</v>
      </c>
      <c r="E107" s="90">
        <v>4.7300000000000002E-2</v>
      </c>
    </row>
    <row r="108" spans="1:5" x14ac:dyDescent="0.25">
      <c r="A108" s="89">
        <v>44577</v>
      </c>
      <c r="B108">
        <v>8.2200000000000006</v>
      </c>
      <c r="C108" s="82">
        <v>-2.8400000000000002E-2</v>
      </c>
      <c r="D108" s="88">
        <v>942.46</v>
      </c>
      <c r="E108" s="90">
        <v>-7.3000000000000001E-3</v>
      </c>
    </row>
    <row r="109" spans="1:5" x14ac:dyDescent="0.25">
      <c r="A109" s="89">
        <v>44584</v>
      </c>
      <c r="B109">
        <v>8.3000000000000007</v>
      </c>
      <c r="C109" s="82">
        <v>9.7000000000000003E-3</v>
      </c>
      <c r="D109" s="88">
        <v>924.42</v>
      </c>
      <c r="E109" s="90">
        <v>-1.9099999999999999E-2</v>
      </c>
    </row>
    <row r="110" spans="1:5" x14ac:dyDescent="0.25">
      <c r="A110" s="89">
        <v>44591</v>
      </c>
      <c r="B110">
        <v>8.3800000000000008</v>
      </c>
      <c r="C110" s="82">
        <v>9.5999999999999992E-3</v>
      </c>
      <c r="D110" s="88">
        <v>945</v>
      </c>
      <c r="E110" s="90">
        <v>2.23E-2</v>
      </c>
    </row>
    <row r="111" spans="1:5" x14ac:dyDescent="0.25">
      <c r="A111" s="89">
        <v>44598</v>
      </c>
      <c r="B111">
        <v>8.1999999999999993</v>
      </c>
      <c r="C111" s="82">
        <v>-2.1499999999999998E-2</v>
      </c>
      <c r="D111" s="88">
        <v>971.09</v>
      </c>
      <c r="E111" s="90">
        <v>2.76E-2</v>
      </c>
    </row>
    <row r="112" spans="1:5" x14ac:dyDescent="0.25">
      <c r="A112" s="89">
        <v>44605</v>
      </c>
      <c r="B112">
        <v>7.98</v>
      </c>
      <c r="C112" s="82">
        <v>-2.6800000000000001E-2</v>
      </c>
      <c r="D112" s="88">
        <v>955.93</v>
      </c>
      <c r="E112" s="90">
        <v>-1.5599999999999999E-2</v>
      </c>
    </row>
    <row r="113" spans="1:5" x14ac:dyDescent="0.25">
      <c r="A113" s="89">
        <v>44612</v>
      </c>
      <c r="B113">
        <v>7.6</v>
      </c>
      <c r="C113" s="82">
        <v>-4.7600000000000003E-2</v>
      </c>
      <c r="D113" s="88">
        <v>927.25</v>
      </c>
      <c r="E113" s="90">
        <v>-0.03</v>
      </c>
    </row>
    <row r="114" spans="1:5" x14ac:dyDescent="0.25">
      <c r="A114" s="89">
        <v>44619</v>
      </c>
      <c r="B114">
        <v>7.5</v>
      </c>
      <c r="C114" s="82">
        <v>-1.32E-2</v>
      </c>
      <c r="D114" s="88">
        <v>821.74</v>
      </c>
      <c r="E114" s="90">
        <v>-0.1138</v>
      </c>
    </row>
    <row r="115" spans="1:5" x14ac:dyDescent="0.25">
      <c r="A115" s="89">
        <v>44626</v>
      </c>
      <c r="B115">
        <v>7.38</v>
      </c>
      <c r="C115" s="82">
        <v>-1.6E-2</v>
      </c>
      <c r="D115" s="88">
        <v>827.96</v>
      </c>
      <c r="E115" s="90">
        <v>7.6E-3</v>
      </c>
    </row>
    <row r="116" spans="1:5" x14ac:dyDescent="0.25">
      <c r="A116" s="89">
        <v>44633</v>
      </c>
      <c r="B116">
        <v>7.48</v>
      </c>
      <c r="C116" s="82">
        <v>1.3599999999999999E-2</v>
      </c>
      <c r="D116" s="88">
        <v>862.86</v>
      </c>
      <c r="E116" s="90">
        <v>4.2200000000000001E-2</v>
      </c>
    </row>
    <row r="117" spans="1:5" x14ac:dyDescent="0.25">
      <c r="A117" s="89">
        <v>44640</v>
      </c>
      <c r="B117">
        <v>7.16</v>
      </c>
      <c r="C117" s="82">
        <v>-4.2799999999999998E-2</v>
      </c>
      <c r="D117" s="88">
        <v>843.11</v>
      </c>
      <c r="E117" s="90">
        <v>-2.29E-2</v>
      </c>
    </row>
    <row r="118" spans="1:5" x14ac:dyDescent="0.25">
      <c r="A118" s="89">
        <v>44647</v>
      </c>
      <c r="B118">
        <v>7.5</v>
      </c>
      <c r="C118" s="82">
        <v>4.7500000000000001E-2</v>
      </c>
      <c r="D118" s="88">
        <v>890.7</v>
      </c>
      <c r="E118" s="90">
        <v>5.6399999999999999E-2</v>
      </c>
    </row>
    <row r="119" spans="1:5" x14ac:dyDescent="0.25">
      <c r="A119" s="89">
        <v>44654</v>
      </c>
      <c r="B119">
        <v>7.22</v>
      </c>
      <c r="C119" s="82">
        <v>-3.73E-2</v>
      </c>
      <c r="D119" s="88">
        <v>906.26</v>
      </c>
      <c r="E119" s="90">
        <v>1.7500000000000002E-2</v>
      </c>
    </row>
    <row r="120" spans="1:5" x14ac:dyDescent="0.25">
      <c r="A120" s="89">
        <v>44661</v>
      </c>
      <c r="B120">
        <v>7.54</v>
      </c>
      <c r="C120" s="82">
        <v>4.4299999999999999E-2</v>
      </c>
      <c r="D120" s="88">
        <v>918.96</v>
      </c>
      <c r="E120" s="90">
        <v>1.4E-2</v>
      </c>
    </row>
    <row r="121" spans="1:5" x14ac:dyDescent="0.25">
      <c r="A121" s="89">
        <v>44668</v>
      </c>
      <c r="B121">
        <v>7.28</v>
      </c>
      <c r="C121" s="82">
        <v>-3.4500000000000003E-2</v>
      </c>
      <c r="D121" s="88">
        <v>949.68</v>
      </c>
      <c r="E121" s="90">
        <v>3.3399999999999999E-2</v>
      </c>
    </row>
    <row r="122" spans="1:5" x14ac:dyDescent="0.25">
      <c r="A122" s="89">
        <v>44675</v>
      </c>
      <c r="B122">
        <v>7</v>
      </c>
      <c r="C122" s="82">
        <v>-3.85E-2</v>
      </c>
      <c r="D122" s="88">
        <v>922.43</v>
      </c>
      <c r="E122" s="90">
        <v>-2.87E-2</v>
      </c>
    </row>
    <row r="123" spans="1:5" x14ac:dyDescent="0.25">
      <c r="A123" s="89">
        <v>44682</v>
      </c>
      <c r="B123">
        <v>6.5</v>
      </c>
      <c r="C123" s="82">
        <v>-7.1400000000000005E-2</v>
      </c>
      <c r="D123" s="88">
        <v>866.75</v>
      </c>
      <c r="E123" s="90">
        <v>-6.0400000000000002E-2</v>
      </c>
    </row>
    <row r="124" spans="1:5" x14ac:dyDescent="0.25">
      <c r="A124" s="89">
        <v>44689</v>
      </c>
      <c r="B124">
        <v>6.46</v>
      </c>
      <c r="C124" s="82">
        <v>-6.1999999999999998E-3</v>
      </c>
      <c r="D124" s="88">
        <v>867.03</v>
      </c>
      <c r="E124" s="90">
        <v>2.9999999999999997E-4</v>
      </c>
    </row>
    <row r="125" spans="1:5" x14ac:dyDescent="0.25">
      <c r="A125" s="89">
        <v>44696</v>
      </c>
      <c r="B125">
        <v>6.4</v>
      </c>
      <c r="C125" s="82">
        <v>-9.2999999999999992E-3</v>
      </c>
      <c r="D125" s="88">
        <v>860.06</v>
      </c>
      <c r="E125" s="90">
        <v>-8.0000000000000002E-3</v>
      </c>
    </row>
    <row r="126" spans="1:5" x14ac:dyDescent="0.25">
      <c r="A126" s="89">
        <v>44703</v>
      </c>
      <c r="B126">
        <v>6.44</v>
      </c>
      <c r="C126" s="82">
        <v>6.1999999999999998E-3</v>
      </c>
      <c r="D126" s="88">
        <v>891.41</v>
      </c>
      <c r="E126" s="90">
        <v>3.6499999999999998E-2</v>
      </c>
    </row>
    <row r="127" spans="1:5" x14ac:dyDescent="0.25">
      <c r="A127" s="89">
        <v>44710</v>
      </c>
      <c r="B127">
        <v>6</v>
      </c>
      <c r="C127" s="82">
        <v>-6.83E-2</v>
      </c>
      <c r="D127" s="88">
        <v>896.89</v>
      </c>
      <c r="E127" s="90">
        <v>6.1000000000000004E-3</v>
      </c>
    </row>
    <row r="128" spans="1:5" x14ac:dyDescent="0.25">
      <c r="A128" s="89">
        <v>44717</v>
      </c>
      <c r="B128">
        <v>5.96</v>
      </c>
      <c r="C128" s="82">
        <v>-6.7000000000000002E-3</v>
      </c>
      <c r="D128" s="88">
        <v>862.55</v>
      </c>
      <c r="E128" s="90">
        <v>-3.8300000000000001E-2</v>
      </c>
    </row>
    <row r="129" spans="1:5" x14ac:dyDescent="0.25">
      <c r="A129" s="89">
        <v>44724</v>
      </c>
      <c r="B129">
        <v>5.72</v>
      </c>
      <c r="C129" s="82">
        <v>-4.0300000000000002E-2</v>
      </c>
      <c r="D129" s="88">
        <v>825.41</v>
      </c>
      <c r="E129" s="90">
        <v>-4.3099999999999999E-2</v>
      </c>
    </row>
    <row r="130" spans="1:5" x14ac:dyDescent="0.25">
      <c r="A130" s="89">
        <v>44731</v>
      </c>
      <c r="B130">
        <v>5.66</v>
      </c>
      <c r="C130" s="82">
        <v>-1.0500000000000001E-2</v>
      </c>
      <c r="D130" s="88">
        <v>834.83</v>
      </c>
      <c r="E130" s="90">
        <v>1.14E-2</v>
      </c>
    </row>
    <row r="131" spans="1:5" x14ac:dyDescent="0.25">
      <c r="A131" s="89">
        <v>44738</v>
      </c>
      <c r="B131">
        <v>5.5</v>
      </c>
      <c r="C131" s="82">
        <v>-2.8299999999999999E-2</v>
      </c>
      <c r="D131" s="88">
        <v>805.79</v>
      </c>
      <c r="E131" s="90">
        <v>-3.4799999999999998E-2</v>
      </c>
    </row>
    <row r="132" spans="1:5" x14ac:dyDescent="0.25">
      <c r="A132" s="89">
        <v>44745</v>
      </c>
      <c r="B132">
        <v>5.6</v>
      </c>
      <c r="C132" s="82">
        <v>1.8200000000000001E-2</v>
      </c>
      <c r="D132" s="88">
        <v>802.16</v>
      </c>
      <c r="E132" s="90">
        <v>-4.4999999999999997E-3</v>
      </c>
    </row>
    <row r="133" spans="1:5" x14ac:dyDescent="0.25">
      <c r="A133" s="89">
        <v>44752</v>
      </c>
      <c r="B133">
        <v>5.84</v>
      </c>
      <c r="C133" s="82">
        <v>4.2900000000000001E-2</v>
      </c>
      <c r="D133" s="88">
        <v>794.62</v>
      </c>
      <c r="E133" s="90">
        <v>-9.4000000000000004E-3</v>
      </c>
    </row>
    <row r="134" spans="1:5" x14ac:dyDescent="0.25">
      <c r="A134" s="89">
        <v>44759</v>
      </c>
      <c r="B134">
        <v>5.9</v>
      </c>
      <c r="C134" s="82">
        <v>1.03E-2</v>
      </c>
      <c r="D134" s="88">
        <v>829.97</v>
      </c>
      <c r="E134" s="90">
        <v>4.4499999999999998E-2</v>
      </c>
    </row>
    <row r="135" spans="1:5" x14ac:dyDescent="0.25">
      <c r="A135" s="89">
        <v>44766</v>
      </c>
      <c r="B135">
        <v>5.7</v>
      </c>
      <c r="C135" s="82">
        <v>-3.39E-2</v>
      </c>
      <c r="D135" s="88">
        <v>851.05</v>
      </c>
      <c r="E135" s="90">
        <v>2.5399999999999999E-2</v>
      </c>
    </row>
    <row r="136" spans="1:5" x14ac:dyDescent="0.25">
      <c r="A136" s="89">
        <v>44773</v>
      </c>
      <c r="B136">
        <v>5.98</v>
      </c>
      <c r="C136" s="82">
        <v>4.9099999999999998E-2</v>
      </c>
      <c r="D136" s="88">
        <v>849.23</v>
      </c>
      <c r="E136" s="90">
        <v>-2.0999999999999999E-3</v>
      </c>
    </row>
    <row r="137" spans="1:5" x14ac:dyDescent="0.25">
      <c r="A137" s="89">
        <v>44780</v>
      </c>
      <c r="B137">
        <v>5.96</v>
      </c>
      <c r="C137" s="82">
        <v>-3.3E-3</v>
      </c>
      <c r="D137" s="88">
        <v>878.76</v>
      </c>
      <c r="E137" s="90">
        <v>3.4799999999999998E-2</v>
      </c>
    </row>
    <row r="138" spans="1:5" x14ac:dyDescent="0.25">
      <c r="A138" s="89">
        <v>44787</v>
      </c>
      <c r="B138">
        <v>6.06</v>
      </c>
      <c r="C138" s="82">
        <v>1.6799999999999999E-2</v>
      </c>
      <c r="D138" s="88">
        <v>899.16</v>
      </c>
      <c r="E138" s="90">
        <v>2.3199999999999998E-2</v>
      </c>
    </row>
    <row r="139" spans="1:5" x14ac:dyDescent="0.25">
      <c r="A139" s="89">
        <v>44794</v>
      </c>
      <c r="B139">
        <v>5.92</v>
      </c>
      <c r="C139" s="82">
        <v>-2.3099999999999999E-2</v>
      </c>
      <c r="D139" s="88">
        <v>893.74</v>
      </c>
      <c r="E139" s="90">
        <v>-6.0000000000000001E-3</v>
      </c>
    </row>
    <row r="140" spans="1:5" x14ac:dyDescent="0.25">
      <c r="A140" s="89">
        <v>44801</v>
      </c>
      <c r="B140">
        <v>5.7</v>
      </c>
      <c r="C140" s="82">
        <v>-3.7199999999999997E-2</v>
      </c>
      <c r="D140" s="88">
        <v>844.78</v>
      </c>
      <c r="E140" s="90">
        <v>-5.4800000000000001E-2</v>
      </c>
    </row>
    <row r="141" spans="1:5" x14ac:dyDescent="0.25">
      <c r="A141" s="89">
        <v>44808</v>
      </c>
      <c r="B141">
        <v>5.32</v>
      </c>
      <c r="C141" s="82">
        <v>-6.6699999999999995E-2</v>
      </c>
      <c r="D141" s="88">
        <v>841.91</v>
      </c>
      <c r="E141" s="90">
        <v>-3.3999999999999998E-3</v>
      </c>
    </row>
    <row r="142" spans="1:5" x14ac:dyDescent="0.25">
      <c r="A142" s="89">
        <v>44815</v>
      </c>
      <c r="B142">
        <v>5.36</v>
      </c>
      <c r="C142" s="82">
        <v>7.4999999999999997E-3</v>
      </c>
      <c r="D142" s="88">
        <v>836.17</v>
      </c>
      <c r="E142" s="90">
        <v>-6.7999999999999996E-3</v>
      </c>
    </row>
    <row r="143" spans="1:5" x14ac:dyDescent="0.25">
      <c r="A143" s="89">
        <v>44822</v>
      </c>
      <c r="B143">
        <v>5.08</v>
      </c>
      <c r="C143" s="82">
        <v>-5.2200000000000003E-2</v>
      </c>
      <c r="D143" s="88">
        <v>798.11</v>
      </c>
      <c r="E143" s="90">
        <v>-4.5499999999999999E-2</v>
      </c>
    </row>
    <row r="144" spans="1:5" x14ac:dyDescent="0.25">
      <c r="A144" s="89">
        <v>44829</v>
      </c>
      <c r="B144">
        <v>5.0599999999999996</v>
      </c>
      <c r="C144" s="82">
        <v>-3.8999999999999998E-3</v>
      </c>
      <c r="D144" s="88">
        <v>792.9</v>
      </c>
      <c r="E144" s="90">
        <v>-6.4999999999999997E-3</v>
      </c>
    </row>
    <row r="145" spans="1:5" x14ac:dyDescent="0.25">
      <c r="A145" s="89">
        <v>44836</v>
      </c>
      <c r="B145">
        <v>5.5</v>
      </c>
      <c r="C145" s="82">
        <v>8.6999999999999994E-2</v>
      </c>
      <c r="D145" s="88">
        <v>814.06</v>
      </c>
      <c r="E145" s="90">
        <v>2.6700000000000002E-2</v>
      </c>
    </row>
    <row r="146" spans="1:5" x14ac:dyDescent="0.25">
      <c r="A146" s="89">
        <v>44843</v>
      </c>
      <c r="B146">
        <v>5.42</v>
      </c>
      <c r="C146" s="82">
        <v>-1.4500000000000001E-2</v>
      </c>
      <c r="D146" s="88">
        <v>832.32</v>
      </c>
      <c r="E146" s="90">
        <v>2.24E-2</v>
      </c>
    </row>
    <row r="147" spans="1:5" x14ac:dyDescent="0.25">
      <c r="A147" s="89">
        <v>44850</v>
      </c>
      <c r="B147">
        <v>5.36</v>
      </c>
      <c r="C147" s="82">
        <v>-1.11E-2</v>
      </c>
      <c r="D147" s="88">
        <v>854.99</v>
      </c>
      <c r="E147" s="90">
        <v>2.7199999999999998E-2</v>
      </c>
    </row>
    <row r="148" spans="1:5" x14ac:dyDescent="0.25">
      <c r="A148" s="89">
        <v>44857</v>
      </c>
      <c r="B148">
        <v>5.42</v>
      </c>
      <c r="C148" s="82">
        <v>1.12E-2</v>
      </c>
      <c r="D148" s="88">
        <v>860.76</v>
      </c>
      <c r="E148" s="90">
        <v>6.7000000000000002E-3</v>
      </c>
    </row>
    <row r="149" spans="1:5" x14ac:dyDescent="0.25">
      <c r="A149" s="89">
        <v>44864</v>
      </c>
      <c r="B149">
        <v>5.4</v>
      </c>
      <c r="C149" s="82">
        <v>-3.7000000000000002E-3</v>
      </c>
      <c r="D149" s="88">
        <v>879.1</v>
      </c>
      <c r="E149" s="90">
        <v>2.1299999999999999E-2</v>
      </c>
    </row>
    <row r="150" spans="1:5" x14ac:dyDescent="0.25">
      <c r="A150" s="89">
        <v>44871</v>
      </c>
      <c r="B150">
        <v>5.76</v>
      </c>
      <c r="C150" s="82">
        <v>6.6699999999999995E-2</v>
      </c>
      <c r="D150" s="88">
        <v>897.78</v>
      </c>
      <c r="E150" s="90">
        <v>2.12E-2</v>
      </c>
    </row>
    <row r="151" spans="1:5" x14ac:dyDescent="0.25">
      <c r="A151" s="89">
        <v>44878</v>
      </c>
      <c r="B151">
        <v>5.7</v>
      </c>
      <c r="C151" s="82">
        <v>-1.04E-2</v>
      </c>
      <c r="D151" s="88">
        <v>889.9</v>
      </c>
      <c r="E151" s="90">
        <v>-8.8000000000000005E-3</v>
      </c>
    </row>
    <row r="152" spans="1:5" x14ac:dyDescent="0.25">
      <c r="A152" s="89">
        <v>44885</v>
      </c>
      <c r="B152">
        <v>6.16</v>
      </c>
      <c r="C152" s="82">
        <v>8.0699999999999994E-2</v>
      </c>
      <c r="D152" s="88">
        <v>917.64</v>
      </c>
      <c r="E152" s="90">
        <v>3.1199999999999999E-2</v>
      </c>
    </row>
    <row r="153" spans="1:5" x14ac:dyDescent="0.25">
      <c r="A153" s="89">
        <v>44892</v>
      </c>
      <c r="B153">
        <v>5.88</v>
      </c>
      <c r="C153" s="82">
        <v>-4.5499999999999999E-2</v>
      </c>
      <c r="D153" s="88">
        <v>903.97</v>
      </c>
      <c r="E153" s="90">
        <v>-1.49E-2</v>
      </c>
    </row>
    <row r="154" spans="1:5" x14ac:dyDescent="0.25">
      <c r="A154" s="89">
        <v>44899</v>
      </c>
      <c r="B154">
        <v>6</v>
      </c>
      <c r="C154" s="82">
        <v>2.0400000000000001E-2</v>
      </c>
      <c r="D154" s="88">
        <v>915.99</v>
      </c>
      <c r="E154" s="90">
        <v>1.3299999999999999E-2</v>
      </c>
    </row>
    <row r="155" spans="1:5" x14ac:dyDescent="0.25">
      <c r="A155" s="89">
        <v>44906</v>
      </c>
      <c r="B155">
        <v>6.36</v>
      </c>
      <c r="C155" s="82">
        <v>0.06</v>
      </c>
      <c r="D155" s="88">
        <v>911.85</v>
      </c>
      <c r="E155" s="90">
        <v>-4.4999999999999997E-3</v>
      </c>
    </row>
    <row r="156" spans="1:5" x14ac:dyDescent="0.25">
      <c r="A156" s="89">
        <v>44913</v>
      </c>
      <c r="B156">
        <v>6.32</v>
      </c>
      <c r="C156" s="82">
        <v>-6.3E-3</v>
      </c>
      <c r="D156" s="88">
        <v>921.25</v>
      </c>
      <c r="E156" s="90">
        <v>1.03E-2</v>
      </c>
    </row>
    <row r="157" spans="1:5" x14ac:dyDescent="0.25">
      <c r="A157" s="89">
        <v>44920</v>
      </c>
      <c r="B157">
        <v>6.2</v>
      </c>
      <c r="C157" s="82">
        <v>-1.9E-2</v>
      </c>
      <c r="D157" s="88">
        <v>929.79</v>
      </c>
      <c r="E157" s="90">
        <v>9.2999999999999992E-3</v>
      </c>
    </row>
    <row r="158" spans="1:5" x14ac:dyDescent="0.25">
      <c r="A158" s="89">
        <v>44927</v>
      </c>
      <c r="B158">
        <v>6.48</v>
      </c>
      <c r="C158" s="82">
        <v>4.5199999999999997E-2</v>
      </c>
      <c r="D158" s="88">
        <v>951.45</v>
      </c>
      <c r="E158" s="90">
        <v>2.3300000000000001E-2</v>
      </c>
    </row>
    <row r="159" spans="1:5" x14ac:dyDescent="0.25">
      <c r="A159" s="89">
        <v>44934</v>
      </c>
      <c r="B159">
        <v>6.5</v>
      </c>
      <c r="C159" s="82">
        <v>3.0999999999999999E-3</v>
      </c>
      <c r="D159" s="88">
        <v>968.38</v>
      </c>
      <c r="E159" s="90">
        <v>1.78E-2</v>
      </c>
    </row>
    <row r="160" spans="1:5" x14ac:dyDescent="0.25">
      <c r="A160" s="89">
        <v>44941</v>
      </c>
      <c r="B160">
        <v>6.44</v>
      </c>
      <c r="C160" s="82">
        <v>-9.1999999999999998E-3</v>
      </c>
      <c r="D160" s="88">
        <v>979.06</v>
      </c>
      <c r="E160" s="90">
        <v>1.0999999999999999E-2</v>
      </c>
    </row>
    <row r="161" spans="1:5" x14ac:dyDescent="0.25">
      <c r="A161" s="89">
        <v>44948</v>
      </c>
      <c r="B161">
        <v>6.12</v>
      </c>
      <c r="C161" s="82">
        <v>-4.9700000000000001E-2</v>
      </c>
      <c r="D161" s="92">
        <v>1015.48</v>
      </c>
      <c r="E161" s="90">
        <v>3.7199999999999997E-2</v>
      </c>
    </row>
    <row r="162" spans="1:5" x14ac:dyDescent="0.25">
      <c r="A162" s="89">
        <v>44955</v>
      </c>
      <c r="B162">
        <v>6.2</v>
      </c>
      <c r="C162" s="82">
        <v>1.3100000000000001E-2</v>
      </c>
      <c r="D162" s="92">
        <v>1033.44</v>
      </c>
      <c r="E162" s="90">
        <v>1.77E-2</v>
      </c>
    </row>
    <row r="163" spans="1:5" x14ac:dyDescent="0.25">
      <c r="A163" s="89">
        <v>44962</v>
      </c>
      <c r="B163">
        <v>6.1</v>
      </c>
      <c r="C163" s="82">
        <v>-1.61E-2</v>
      </c>
      <c r="D163" s="92">
        <v>1068.1199999999999</v>
      </c>
      <c r="E163" s="90">
        <v>3.3599999999999998E-2</v>
      </c>
    </row>
    <row r="164" spans="1:5" x14ac:dyDescent="0.25">
      <c r="A164" s="89">
        <v>44969</v>
      </c>
      <c r="B164">
        <v>6.22</v>
      </c>
      <c r="C164" s="82">
        <v>1.9699999999999999E-2</v>
      </c>
      <c r="D164" s="92">
        <v>1102.76</v>
      </c>
      <c r="E164" s="90">
        <v>3.2399999999999998E-2</v>
      </c>
    </row>
    <row r="165" spans="1:5" x14ac:dyDescent="0.25">
      <c r="A165" s="89">
        <v>44976</v>
      </c>
      <c r="B165">
        <v>6.34</v>
      </c>
      <c r="C165" s="82">
        <v>1.9300000000000001E-2</v>
      </c>
      <c r="D165" s="92">
        <v>1113.3599999999999</v>
      </c>
      <c r="E165" s="90">
        <v>9.5999999999999992E-3</v>
      </c>
    </row>
    <row r="166" spans="1:5" x14ac:dyDescent="0.25">
      <c r="A166" s="89">
        <v>44983</v>
      </c>
      <c r="B166">
        <v>6.38</v>
      </c>
      <c r="C166" s="82">
        <v>6.3E-3</v>
      </c>
      <c r="D166" s="92">
        <v>1114.68</v>
      </c>
      <c r="E166" s="90">
        <v>1.1999999999999999E-3</v>
      </c>
    </row>
    <row r="167" spans="1:5" x14ac:dyDescent="0.25">
      <c r="A167" s="89">
        <v>44990</v>
      </c>
      <c r="B167">
        <v>6.58</v>
      </c>
      <c r="C167" s="82">
        <v>3.1300000000000001E-2</v>
      </c>
      <c r="D167" s="92">
        <v>1056.26</v>
      </c>
      <c r="E167" s="90">
        <v>-5.2400000000000002E-2</v>
      </c>
    </row>
    <row r="168" spans="1:5" x14ac:dyDescent="0.25">
      <c r="A168" s="89">
        <v>44997</v>
      </c>
      <c r="B168">
        <v>6.1</v>
      </c>
      <c r="C168" s="82">
        <v>-7.2900000000000006E-2</v>
      </c>
      <c r="D168" s="92">
        <v>1020.19</v>
      </c>
      <c r="E168" s="90">
        <v>-3.4099999999999998E-2</v>
      </c>
    </row>
    <row r="169" spans="1:5" x14ac:dyDescent="0.25">
      <c r="A169" s="89">
        <v>45004</v>
      </c>
      <c r="B169">
        <v>6.4</v>
      </c>
      <c r="C169" s="82">
        <v>4.9200000000000001E-2</v>
      </c>
      <c r="D169" s="92">
        <v>1021.16</v>
      </c>
      <c r="E169" s="90">
        <v>1E-3</v>
      </c>
    </row>
    <row r="170" spans="1:5" x14ac:dyDescent="0.25">
      <c r="A170" s="89">
        <v>45011</v>
      </c>
      <c r="B170">
        <v>6.34</v>
      </c>
      <c r="C170" s="82">
        <v>-9.4000000000000004E-3</v>
      </c>
      <c r="D170" s="92">
        <v>1054.5899999999999</v>
      </c>
      <c r="E170" s="90">
        <v>3.27E-2</v>
      </c>
    </row>
    <row r="171" spans="1:5" x14ac:dyDescent="0.25">
      <c r="A171" s="89">
        <v>45018</v>
      </c>
      <c r="B171">
        <v>6.32</v>
      </c>
      <c r="C171" s="82">
        <v>-3.2000000000000002E-3</v>
      </c>
      <c r="D171" s="92">
        <v>1074</v>
      </c>
      <c r="E171" s="90">
        <v>1.84E-2</v>
      </c>
    </row>
    <row r="172" spans="1:5" x14ac:dyDescent="0.25">
      <c r="A172" s="89">
        <v>45025</v>
      </c>
      <c r="B172">
        <v>6.5</v>
      </c>
      <c r="C172" s="82">
        <v>2.8500000000000001E-2</v>
      </c>
      <c r="D172" s="92">
        <v>1102.79</v>
      </c>
      <c r="E172" s="90">
        <v>2.6800000000000001E-2</v>
      </c>
    </row>
    <row r="173" spans="1:5" x14ac:dyDescent="0.25">
      <c r="A173" s="89">
        <v>45032</v>
      </c>
      <c r="B173">
        <v>6.46</v>
      </c>
      <c r="C173" s="82">
        <v>-6.1999999999999998E-3</v>
      </c>
      <c r="D173" s="92">
        <v>1111.33</v>
      </c>
      <c r="E173" s="90">
        <v>7.7000000000000002E-3</v>
      </c>
    </row>
    <row r="174" spans="1:5" x14ac:dyDescent="0.25">
      <c r="A174" s="89">
        <v>45039</v>
      </c>
      <c r="B174">
        <v>6.6</v>
      </c>
      <c r="C174" s="82">
        <v>2.1700000000000001E-2</v>
      </c>
      <c r="D174" s="92">
        <v>1085.1099999999999</v>
      </c>
      <c r="E174" s="90">
        <v>-2.3599999999999999E-2</v>
      </c>
    </row>
    <row r="175" spans="1:5" x14ac:dyDescent="0.25">
      <c r="A175" s="89">
        <v>45046</v>
      </c>
      <c r="B175">
        <v>6.92</v>
      </c>
      <c r="C175" s="82">
        <v>4.8500000000000001E-2</v>
      </c>
      <c r="D175" s="92">
        <v>1111.24</v>
      </c>
      <c r="E175" s="90">
        <v>2.41E-2</v>
      </c>
    </row>
    <row r="176" spans="1:5" x14ac:dyDescent="0.25">
      <c r="A176" s="89">
        <v>45053</v>
      </c>
      <c r="B176">
        <v>7.1</v>
      </c>
      <c r="C176" s="82">
        <v>2.5999999999999999E-2</v>
      </c>
      <c r="D176" s="92">
        <v>1122.75</v>
      </c>
      <c r="E176" s="90">
        <v>1.04E-2</v>
      </c>
    </row>
    <row r="177" spans="1:5" x14ac:dyDescent="0.25">
      <c r="A177" s="89">
        <v>45060</v>
      </c>
      <c r="B177">
        <v>7.18</v>
      </c>
      <c r="C177" s="82">
        <v>1.1299999999999999E-2</v>
      </c>
      <c r="D177" s="92">
        <v>1132.3399999999999</v>
      </c>
      <c r="E177" s="90">
        <v>8.5000000000000006E-3</v>
      </c>
    </row>
    <row r="178" spans="1:5" x14ac:dyDescent="0.25">
      <c r="A178" s="89">
        <v>45067</v>
      </c>
      <c r="B178">
        <v>8.16</v>
      </c>
      <c r="C178" s="82">
        <v>0.13650000000000001</v>
      </c>
      <c r="D178" s="92">
        <v>1220.8900000000001</v>
      </c>
      <c r="E178" s="90">
        <v>7.8200000000000006E-2</v>
      </c>
    </row>
    <row r="179" spans="1:5" x14ac:dyDescent="0.25">
      <c r="A179" s="89">
        <v>45074</v>
      </c>
      <c r="B179">
        <v>8</v>
      </c>
      <c r="C179" s="82">
        <v>-1.9599999999999999E-2</v>
      </c>
      <c r="D179" s="92">
        <v>1217.8599999999999</v>
      </c>
      <c r="E179" s="90">
        <v>-2.5000000000000001E-3</v>
      </c>
    </row>
    <row r="180" spans="1:5" x14ac:dyDescent="0.25">
      <c r="A180" s="89">
        <v>45081</v>
      </c>
      <c r="B180">
        <v>8.06</v>
      </c>
      <c r="C180" s="82">
        <v>7.4999999999999997E-3</v>
      </c>
      <c r="D180" s="92">
        <v>1261.67</v>
      </c>
      <c r="E180" s="90">
        <v>3.5999999999999997E-2</v>
      </c>
    </row>
    <row r="181" spans="1:5" x14ac:dyDescent="0.25">
      <c r="A181" s="89">
        <v>45088</v>
      </c>
      <c r="B181">
        <v>7.96</v>
      </c>
      <c r="C181" s="82">
        <v>-1.24E-2</v>
      </c>
      <c r="D181" s="92">
        <v>1277.56</v>
      </c>
      <c r="E181" s="90">
        <v>1.26E-2</v>
      </c>
    </row>
    <row r="182" spans="1:5" x14ac:dyDescent="0.25">
      <c r="A182" s="89">
        <v>45095</v>
      </c>
      <c r="B182">
        <v>7.94</v>
      </c>
      <c r="C182" s="82">
        <v>-2.5000000000000001E-3</v>
      </c>
      <c r="D182" s="92">
        <v>1268.71</v>
      </c>
      <c r="E182" s="90">
        <v>-6.8999999999999999E-3</v>
      </c>
    </row>
    <row r="183" spans="1:5" x14ac:dyDescent="0.25">
      <c r="A183" s="89">
        <v>45102</v>
      </c>
      <c r="B183">
        <v>7.96</v>
      </c>
      <c r="C183" s="82">
        <v>2.5000000000000001E-3</v>
      </c>
      <c r="D183" s="92">
        <v>1278.6099999999999</v>
      </c>
      <c r="E183" s="90">
        <v>7.7999999999999996E-3</v>
      </c>
    </row>
    <row r="184" spans="1:5" x14ac:dyDescent="0.25">
      <c r="A184" s="89">
        <v>45109</v>
      </c>
      <c r="B184">
        <v>7.98</v>
      </c>
      <c r="C184" s="82">
        <v>2.5000000000000001E-3</v>
      </c>
      <c r="D184" s="92">
        <v>1278.3</v>
      </c>
      <c r="E184" s="90">
        <v>-2.0000000000000001E-4</v>
      </c>
    </row>
    <row r="185" spans="1:5" x14ac:dyDescent="0.25">
      <c r="A185" s="89">
        <v>45116</v>
      </c>
      <c r="B185">
        <v>8.2200000000000006</v>
      </c>
      <c r="C185" s="82">
        <v>3.0099999999999998E-2</v>
      </c>
      <c r="D185" s="92">
        <v>1325.61</v>
      </c>
      <c r="E185" s="90">
        <v>3.6999999999999998E-2</v>
      </c>
    </row>
    <row r="186" spans="1:5" x14ac:dyDescent="0.25">
      <c r="A186" s="89">
        <v>45123</v>
      </c>
      <c r="B186">
        <v>8.36</v>
      </c>
      <c r="C186" s="82">
        <v>1.7000000000000001E-2</v>
      </c>
      <c r="D186" s="92">
        <v>1339.18</v>
      </c>
      <c r="E186" s="90">
        <v>1.0200000000000001E-2</v>
      </c>
    </row>
    <row r="187" spans="1:5" x14ac:dyDescent="0.25">
      <c r="A187" s="89">
        <v>45130</v>
      </c>
      <c r="B187">
        <v>8.6</v>
      </c>
      <c r="C187" s="82">
        <v>2.87E-2</v>
      </c>
      <c r="D187" s="92">
        <v>1333.86</v>
      </c>
      <c r="E187" s="90">
        <v>-4.0000000000000001E-3</v>
      </c>
    </row>
    <row r="188" spans="1:5" x14ac:dyDescent="0.25">
      <c r="A188" s="89">
        <v>45137</v>
      </c>
      <c r="B188">
        <v>8.6</v>
      </c>
      <c r="C188" s="82">
        <v>0</v>
      </c>
      <c r="D188" s="92">
        <v>1319.52</v>
      </c>
      <c r="E188" s="90">
        <v>-1.0800000000000001E-2</v>
      </c>
    </row>
    <row r="189" spans="1:5" x14ac:dyDescent="0.25">
      <c r="A189" s="89">
        <v>45144</v>
      </c>
      <c r="B189">
        <v>8.34</v>
      </c>
      <c r="C189" s="82">
        <v>-3.0200000000000001E-2</v>
      </c>
      <c r="D189" s="92">
        <v>1286.8599999999999</v>
      </c>
      <c r="E189" s="90">
        <v>-2.4799999999999999E-2</v>
      </c>
    </row>
    <row r="190" spans="1:5" x14ac:dyDescent="0.25">
      <c r="A190" s="89">
        <v>45151</v>
      </c>
      <c r="B190">
        <v>8.1999999999999993</v>
      </c>
      <c r="C190" s="82">
        <v>-1.6799999999999999E-2</v>
      </c>
      <c r="D190" s="92">
        <v>1263.3399999999999</v>
      </c>
      <c r="E190" s="90">
        <v>-1.83E-2</v>
      </c>
    </row>
    <row r="191" spans="1:5" x14ac:dyDescent="0.25">
      <c r="A191" s="89">
        <v>45158</v>
      </c>
      <c r="B191">
        <v>8.4</v>
      </c>
      <c r="C191" s="82">
        <v>2.4400000000000002E-2</v>
      </c>
      <c r="D191" s="92">
        <v>1299.76</v>
      </c>
      <c r="E191" s="90">
        <v>2.8799999999999999E-2</v>
      </c>
    </row>
    <row r="192" spans="1:5" x14ac:dyDescent="0.25">
      <c r="A192" s="89">
        <v>45165</v>
      </c>
      <c r="B192">
        <v>8.26</v>
      </c>
      <c r="C192" s="82">
        <v>-1.67E-2</v>
      </c>
      <c r="D192" s="92">
        <v>1299.47</v>
      </c>
      <c r="E192" s="90">
        <v>-2.0000000000000001E-4</v>
      </c>
    </row>
    <row r="193" spans="1:5" x14ac:dyDescent="0.25">
      <c r="A193" s="89">
        <v>45172</v>
      </c>
      <c r="B193">
        <v>7.88</v>
      </c>
      <c r="C193" s="82">
        <v>-4.5999999999999999E-2</v>
      </c>
      <c r="D193" s="92">
        <v>1259.5</v>
      </c>
      <c r="E193" s="90">
        <v>-3.0800000000000001E-2</v>
      </c>
    </row>
    <row r="194" spans="1:5" x14ac:dyDescent="0.25">
      <c r="A194" s="89">
        <v>45179</v>
      </c>
      <c r="B194">
        <v>7.8</v>
      </c>
      <c r="C194" s="82">
        <v>-1.0200000000000001E-2</v>
      </c>
      <c r="D194" s="92">
        <v>1258.58</v>
      </c>
      <c r="E194" s="90">
        <v>-6.9999999999999999E-4</v>
      </c>
    </row>
    <row r="195" spans="1:5" x14ac:dyDescent="0.25">
      <c r="A195" s="89">
        <v>45186</v>
      </c>
      <c r="B195">
        <v>7.82</v>
      </c>
      <c r="C195" s="82">
        <v>2.5999999999999999E-3</v>
      </c>
      <c r="D195" s="92">
        <v>1217.75</v>
      </c>
      <c r="E195" s="90">
        <v>-3.2399999999999998E-2</v>
      </c>
    </row>
    <row r="196" spans="1:5" x14ac:dyDescent="0.25">
      <c r="A196" s="89">
        <v>45193</v>
      </c>
      <c r="B196">
        <v>8.32</v>
      </c>
      <c r="C196" s="82">
        <v>6.3899999999999998E-2</v>
      </c>
      <c r="D196" s="92">
        <v>1209.3399999999999</v>
      </c>
      <c r="E196" s="90">
        <v>-6.8999999999999999E-3</v>
      </c>
    </row>
    <row r="197" spans="1:5" x14ac:dyDescent="0.25">
      <c r="A197" s="89">
        <v>45200</v>
      </c>
      <c r="B197">
        <v>8.1999999999999993</v>
      </c>
      <c r="C197" s="82">
        <v>-1.44E-2</v>
      </c>
      <c r="D197" s="92">
        <v>1136.93</v>
      </c>
      <c r="E197" s="90">
        <v>-5.9900000000000002E-2</v>
      </c>
    </row>
    <row r="198" spans="1:5" x14ac:dyDescent="0.25">
      <c r="A198" s="89">
        <v>45207</v>
      </c>
      <c r="B198">
        <v>7.92</v>
      </c>
      <c r="C198" s="82">
        <v>-3.4099999999999998E-2</v>
      </c>
      <c r="D198" s="92">
        <v>1169.6600000000001</v>
      </c>
      <c r="E198" s="90">
        <v>2.8799999999999999E-2</v>
      </c>
    </row>
    <row r="199" spans="1:5" x14ac:dyDescent="0.25">
      <c r="A199" s="89">
        <v>45214</v>
      </c>
      <c r="B199">
        <v>8.1</v>
      </c>
      <c r="C199" s="82">
        <v>2.2700000000000001E-2</v>
      </c>
      <c r="D199" s="92">
        <v>1174.9100000000001</v>
      </c>
      <c r="E199" s="90">
        <v>4.4999999999999997E-3</v>
      </c>
    </row>
    <row r="200" spans="1:5" x14ac:dyDescent="0.25">
      <c r="A200" s="89">
        <v>45221</v>
      </c>
      <c r="B200">
        <v>8.08</v>
      </c>
      <c r="C200" s="82">
        <v>-2.5000000000000001E-3</v>
      </c>
      <c r="D200" s="92">
        <v>1178.79</v>
      </c>
      <c r="E200" s="90">
        <v>3.3E-3</v>
      </c>
    </row>
    <row r="201" spans="1:5" x14ac:dyDescent="0.25">
      <c r="A201" s="89">
        <v>45228</v>
      </c>
      <c r="B201">
        <v>8.1199999999999992</v>
      </c>
      <c r="C201" s="82">
        <v>5.0000000000000001E-3</v>
      </c>
      <c r="D201" s="92">
        <v>1219.77</v>
      </c>
      <c r="E201" s="90">
        <v>3.4799999999999998E-2</v>
      </c>
    </row>
    <row r="202" spans="1:5" x14ac:dyDescent="0.25">
      <c r="A202" s="89">
        <v>45235</v>
      </c>
      <c r="B202">
        <v>8.56</v>
      </c>
      <c r="C202" s="82">
        <v>5.4199999999999998E-2</v>
      </c>
      <c r="D202" s="92">
        <v>1203.08</v>
      </c>
      <c r="E202" s="90">
        <v>-1.37E-2</v>
      </c>
    </row>
    <row r="203" spans="1:5" x14ac:dyDescent="0.25">
      <c r="A203" s="89">
        <v>45242</v>
      </c>
      <c r="B203">
        <v>8.5</v>
      </c>
      <c r="C203" s="82">
        <v>-7.0000000000000001E-3</v>
      </c>
      <c r="D203" s="92">
        <v>1250.44</v>
      </c>
      <c r="E203" s="90">
        <v>3.9399999999999998E-2</v>
      </c>
    </row>
    <row r="204" spans="1:5" x14ac:dyDescent="0.25">
      <c r="A204" s="89">
        <v>45249</v>
      </c>
      <c r="B204">
        <v>8.98</v>
      </c>
      <c r="C204" s="82">
        <v>5.6500000000000002E-2</v>
      </c>
      <c r="D204" s="92">
        <v>1258.73</v>
      </c>
      <c r="E204" s="90">
        <v>6.6E-3</v>
      </c>
    </row>
    <row r="205" spans="1:5" x14ac:dyDescent="0.25">
      <c r="A205" s="89">
        <v>45256</v>
      </c>
      <c r="B205">
        <v>9.44</v>
      </c>
      <c r="C205" s="82">
        <v>5.1200000000000002E-2</v>
      </c>
      <c r="D205" s="92">
        <v>1280.1099999999999</v>
      </c>
      <c r="E205" s="90">
        <v>1.7000000000000001E-2</v>
      </c>
    </row>
    <row r="206" spans="1:5" x14ac:dyDescent="0.25">
      <c r="A206" s="89">
        <v>45263</v>
      </c>
      <c r="B206">
        <v>9.42</v>
      </c>
      <c r="C206" s="82">
        <v>-2.0999999999999999E-3</v>
      </c>
      <c r="D206" s="92">
        <v>1275.0899999999999</v>
      </c>
      <c r="E206" s="90">
        <v>-3.8999999999999998E-3</v>
      </c>
    </row>
    <row r="207" spans="1:5" x14ac:dyDescent="0.25">
      <c r="A207" s="89">
        <v>45270</v>
      </c>
      <c r="B207">
        <v>9.5</v>
      </c>
      <c r="C207" s="82">
        <v>8.5000000000000006E-3</v>
      </c>
      <c r="D207" s="92">
        <v>1290.79</v>
      </c>
      <c r="E207" s="90">
        <v>1.23E-2</v>
      </c>
    </row>
    <row r="208" spans="1:5" x14ac:dyDescent="0.25">
      <c r="A208" s="89">
        <v>45277</v>
      </c>
      <c r="B208">
        <v>9.5399999999999991</v>
      </c>
      <c r="C208" s="82">
        <v>4.1999999999999997E-3</v>
      </c>
      <c r="D208" s="92">
        <v>1290.8900000000001</v>
      </c>
      <c r="E208" s="90">
        <v>1E-4</v>
      </c>
    </row>
    <row r="209" spans="1:5" x14ac:dyDescent="0.25">
      <c r="A209" s="89">
        <v>45284</v>
      </c>
      <c r="B209">
        <v>9.58</v>
      </c>
      <c r="C209" s="82">
        <v>4.1999999999999997E-3</v>
      </c>
      <c r="D209" s="92">
        <v>1293.1400000000001</v>
      </c>
      <c r="E209" s="90">
        <v>1.6999999999999999E-3</v>
      </c>
    </row>
    <row r="210" spans="1:5" x14ac:dyDescent="0.25">
      <c r="A210" s="89">
        <v>45291</v>
      </c>
      <c r="B210">
        <v>9.8000000000000007</v>
      </c>
      <c r="C210" s="82">
        <v>2.3E-2</v>
      </c>
      <c r="D210" s="92">
        <v>1311.67</v>
      </c>
      <c r="E210" s="90">
        <v>1.43E-2</v>
      </c>
    </row>
    <row r="211" spans="1:5" x14ac:dyDescent="0.25">
      <c r="A211" s="89">
        <v>45298</v>
      </c>
      <c r="B211">
        <v>9.8800000000000008</v>
      </c>
      <c r="C211" s="82">
        <v>8.2000000000000007E-3</v>
      </c>
      <c r="D211" s="92">
        <v>1352.65</v>
      </c>
      <c r="E211" s="90">
        <v>3.1199999999999999E-2</v>
      </c>
    </row>
    <row r="212" spans="1:5" x14ac:dyDescent="0.25">
      <c r="A212" s="89">
        <v>45305</v>
      </c>
      <c r="B212">
        <v>9.92</v>
      </c>
      <c r="C212" s="82">
        <v>4.0000000000000001E-3</v>
      </c>
      <c r="D212" s="92">
        <v>1340.03</v>
      </c>
      <c r="E212" s="90">
        <v>-9.2999999999999992E-3</v>
      </c>
    </row>
    <row r="213" spans="1:5" x14ac:dyDescent="0.25">
      <c r="A213" s="89">
        <v>45312</v>
      </c>
      <c r="B213">
        <v>9.8800000000000008</v>
      </c>
      <c r="C213" s="82">
        <v>-4.0000000000000001E-3</v>
      </c>
      <c r="D213" s="92">
        <v>1360.89</v>
      </c>
      <c r="E213" s="90">
        <v>1.5599999999999999E-2</v>
      </c>
    </row>
    <row r="214" spans="1:5" x14ac:dyDescent="0.25">
      <c r="A214" s="89">
        <v>45319</v>
      </c>
      <c r="B214">
        <v>9.9</v>
      </c>
      <c r="C214" s="82">
        <v>2E-3</v>
      </c>
      <c r="D214" s="92">
        <v>1385.01</v>
      </c>
      <c r="E214" s="90">
        <v>1.77E-2</v>
      </c>
    </row>
    <row r="215" spans="1:5" x14ac:dyDescent="0.25">
      <c r="A215" s="89">
        <v>45326</v>
      </c>
      <c r="B215">
        <v>9.9</v>
      </c>
      <c r="C215" s="82">
        <v>0</v>
      </c>
      <c r="D215" s="92">
        <v>1401.01</v>
      </c>
      <c r="E215" s="90">
        <v>1.1599999999999999E-2</v>
      </c>
    </row>
    <row r="216" spans="1:5" x14ac:dyDescent="0.25">
      <c r="A216" s="89">
        <v>45333</v>
      </c>
      <c r="B216">
        <v>9.9</v>
      </c>
      <c r="C216" s="82">
        <v>0</v>
      </c>
      <c r="D216" s="92">
        <v>1405.32</v>
      </c>
      <c r="E216" s="90">
        <v>3.0999999999999999E-3</v>
      </c>
    </row>
    <row r="217" spans="1:5" x14ac:dyDescent="0.25">
      <c r="A217" s="89">
        <v>45340</v>
      </c>
      <c r="B217">
        <v>10.55</v>
      </c>
      <c r="C217" s="82">
        <v>6.5699999999999995E-2</v>
      </c>
      <c r="D217" s="92">
        <v>1413.26</v>
      </c>
      <c r="E217" s="90">
        <v>5.7000000000000002E-3</v>
      </c>
    </row>
    <row r="218" spans="1:5" x14ac:dyDescent="0.25">
      <c r="A218" s="89">
        <v>45347</v>
      </c>
      <c r="B218">
        <v>10.85</v>
      </c>
      <c r="C218" s="82">
        <v>2.8400000000000002E-2</v>
      </c>
      <c r="D218" s="92">
        <v>1422.75</v>
      </c>
      <c r="E218" s="90">
        <v>6.7000000000000002E-3</v>
      </c>
    </row>
    <row r="219" spans="1:5" x14ac:dyDescent="0.25">
      <c r="A219" s="89">
        <v>45354</v>
      </c>
      <c r="B219">
        <v>10.95</v>
      </c>
      <c r="C219" s="82">
        <v>9.1999999999999998E-3</v>
      </c>
      <c r="D219" s="92">
        <v>1427.02</v>
      </c>
      <c r="E219" s="90">
        <v>3.0000000000000001E-3</v>
      </c>
    </row>
    <row r="220" spans="1:5" x14ac:dyDescent="0.25">
      <c r="A220" s="89">
        <v>45361</v>
      </c>
      <c r="B220">
        <v>12</v>
      </c>
      <c r="C220" s="82">
        <v>9.5899999999999999E-2</v>
      </c>
      <c r="D220" s="92">
        <v>1422.03</v>
      </c>
      <c r="E220" s="90">
        <v>-3.5000000000000001E-3</v>
      </c>
    </row>
    <row r="221" spans="1:5" x14ac:dyDescent="0.25">
      <c r="A221" s="89">
        <v>45368</v>
      </c>
      <c r="B221">
        <v>11.8</v>
      </c>
      <c r="C221" s="82">
        <v>-1.67E-2</v>
      </c>
      <c r="D221" s="92">
        <v>1425.16</v>
      </c>
      <c r="E221" s="90">
        <v>2.2000000000000001E-3</v>
      </c>
    </row>
    <row r="222" spans="1:5" x14ac:dyDescent="0.25">
      <c r="A222" s="89">
        <v>45375</v>
      </c>
      <c r="B222">
        <v>11.7</v>
      </c>
      <c r="C222" s="82">
        <v>-8.5000000000000006E-3</v>
      </c>
      <c r="D222" s="92">
        <v>1422.35</v>
      </c>
      <c r="E222" s="90">
        <v>-2E-3</v>
      </c>
    </row>
    <row r="223" spans="1:5" x14ac:dyDescent="0.25">
      <c r="A223" s="89">
        <v>45382</v>
      </c>
      <c r="B223">
        <v>10.9</v>
      </c>
      <c r="C223" s="82">
        <v>-6.8400000000000002E-2</v>
      </c>
      <c r="D223" s="92">
        <v>1383.45</v>
      </c>
      <c r="E223" s="90">
        <v>-2.7300000000000001E-2</v>
      </c>
    </row>
    <row r="224" spans="1:5" x14ac:dyDescent="0.25">
      <c r="A224" s="89">
        <v>45389</v>
      </c>
      <c r="B224">
        <v>11.3</v>
      </c>
      <c r="C224" s="82">
        <v>3.6700000000000003E-2</v>
      </c>
      <c r="D224" s="92">
        <v>1400.61</v>
      </c>
      <c r="E224" s="90">
        <v>1.24E-2</v>
      </c>
    </row>
    <row r="225" spans="1:5" x14ac:dyDescent="0.25">
      <c r="A225" s="89">
        <v>45396</v>
      </c>
      <c r="B225">
        <v>11.2</v>
      </c>
      <c r="C225" s="82">
        <v>-8.8000000000000005E-3</v>
      </c>
      <c r="D225" s="92">
        <v>1392.62</v>
      </c>
      <c r="E225" s="90">
        <v>-5.7000000000000002E-3</v>
      </c>
    </row>
    <row r="226" spans="1:5" x14ac:dyDescent="0.25">
      <c r="A226" s="89">
        <v>45403</v>
      </c>
      <c r="B226">
        <v>10.95</v>
      </c>
      <c r="C226" s="82">
        <v>-2.23E-2</v>
      </c>
      <c r="D226" s="92">
        <v>1454.98</v>
      </c>
      <c r="E226" s="90">
        <v>4.48E-2</v>
      </c>
    </row>
    <row r="227" spans="1:5" x14ac:dyDescent="0.25">
      <c r="A227" s="89">
        <v>45410</v>
      </c>
      <c r="B227">
        <v>10.6</v>
      </c>
      <c r="C227" s="82">
        <v>-3.2000000000000001E-2</v>
      </c>
      <c r="D227" s="92">
        <v>1452.24</v>
      </c>
      <c r="E227" s="90">
        <v>-1.9E-3</v>
      </c>
    </row>
    <row r="228" spans="1:5" x14ac:dyDescent="0.25">
      <c r="A228" s="89">
        <v>45417</v>
      </c>
      <c r="B228">
        <v>10.65</v>
      </c>
      <c r="C228" s="82">
        <v>4.7000000000000002E-3</v>
      </c>
      <c r="D228" s="92">
        <v>1484.06</v>
      </c>
      <c r="E228" s="90">
        <v>2.1899999999999999E-2</v>
      </c>
    </row>
    <row r="229" spans="1:5" x14ac:dyDescent="0.25">
      <c r="A229" s="89">
        <v>45424</v>
      </c>
      <c r="B229">
        <v>11</v>
      </c>
      <c r="C229" s="82">
        <v>3.2899999999999999E-2</v>
      </c>
      <c r="D229" s="92">
        <v>1490.46</v>
      </c>
      <c r="E229" s="90">
        <v>4.3E-3</v>
      </c>
    </row>
    <row r="230" spans="1:5" x14ac:dyDescent="0.25">
      <c r="A230" s="89">
        <v>45431</v>
      </c>
      <c r="B230">
        <v>11.3</v>
      </c>
      <c r="C230" s="82">
        <v>2.7300000000000001E-2</v>
      </c>
      <c r="D230" s="92">
        <v>1477.69</v>
      </c>
      <c r="E230" s="90">
        <v>-8.6E-3</v>
      </c>
    </row>
    <row r="231" spans="1:5" x14ac:dyDescent="0.25">
      <c r="A231" s="89">
        <v>45438</v>
      </c>
      <c r="B231">
        <v>11.15</v>
      </c>
      <c r="C231" s="82">
        <v>-1.3299999999999999E-2</v>
      </c>
      <c r="D231" s="92">
        <v>1431.84</v>
      </c>
      <c r="E231" s="90">
        <v>-3.1E-2</v>
      </c>
    </row>
    <row r="232" spans="1:5" x14ac:dyDescent="0.25">
      <c r="A232" s="89">
        <v>45445</v>
      </c>
      <c r="B232">
        <v>11</v>
      </c>
      <c r="C232" s="82">
        <v>-1.35E-2</v>
      </c>
      <c r="D232" s="92">
        <v>1458.37</v>
      </c>
      <c r="E232" s="90">
        <v>1.8499999999999999E-2</v>
      </c>
    </row>
    <row r="233" spans="1:5" x14ac:dyDescent="0.25">
      <c r="A233" s="89">
        <v>45452</v>
      </c>
      <c r="B233">
        <v>10.5</v>
      </c>
      <c r="C233" s="82">
        <v>-4.5499999999999999E-2</v>
      </c>
      <c r="D233" s="92">
        <v>1406.91</v>
      </c>
      <c r="E233" s="90">
        <v>-3.5299999999999998E-2</v>
      </c>
    </row>
    <row r="234" spans="1:5" x14ac:dyDescent="0.25">
      <c r="A234" s="89">
        <v>45459</v>
      </c>
      <c r="B234">
        <v>10.65</v>
      </c>
      <c r="C234" s="82">
        <v>1.43E-2</v>
      </c>
      <c r="D234" s="92">
        <v>1424.04</v>
      </c>
      <c r="E234" s="90">
        <v>1.2200000000000001E-2</v>
      </c>
    </row>
    <row r="235" spans="1:5" x14ac:dyDescent="0.25">
      <c r="A235" s="89">
        <v>45466</v>
      </c>
      <c r="B235">
        <v>11.35</v>
      </c>
      <c r="C235" s="82">
        <v>6.5699999999999995E-2</v>
      </c>
      <c r="D235" s="92">
        <v>1404.26</v>
      </c>
      <c r="E235" s="90">
        <v>-1.3899999999999999E-2</v>
      </c>
    </row>
    <row r="236" spans="1:5" x14ac:dyDescent="0.25">
      <c r="A236" s="89">
        <v>45473</v>
      </c>
      <c r="B236">
        <v>11.6</v>
      </c>
      <c r="C236" s="82">
        <v>2.1999999999999999E-2</v>
      </c>
      <c r="D236" s="92">
        <v>1440.52</v>
      </c>
      <c r="E236" s="90">
        <v>2.58E-2</v>
      </c>
    </row>
    <row r="237" spans="1:5" x14ac:dyDescent="0.25">
      <c r="A237" s="89">
        <v>45480</v>
      </c>
      <c r="B237">
        <v>11.5</v>
      </c>
      <c r="C237" s="82">
        <v>-8.6E-3</v>
      </c>
      <c r="D237" s="92">
        <v>1452.28</v>
      </c>
      <c r="E237" s="90">
        <v>8.2000000000000007E-3</v>
      </c>
    </row>
    <row r="238" spans="1:5" x14ac:dyDescent="0.25">
      <c r="A238" s="89">
        <v>45487</v>
      </c>
      <c r="B238">
        <v>11.4</v>
      </c>
      <c r="C238" s="82">
        <v>-8.6999999999999994E-3</v>
      </c>
      <c r="D238" s="92">
        <v>1464.39</v>
      </c>
      <c r="E238" s="90">
        <v>8.3000000000000001E-3</v>
      </c>
    </row>
    <row r="239" spans="1:5" x14ac:dyDescent="0.25">
      <c r="A239" s="89">
        <v>45494</v>
      </c>
      <c r="B239">
        <v>11.55</v>
      </c>
      <c r="C239" s="82">
        <v>1.32E-2</v>
      </c>
      <c r="D239" s="92">
        <v>1469.25</v>
      </c>
      <c r="E239" s="90">
        <v>3.3E-3</v>
      </c>
    </row>
    <row r="240" spans="1:5" x14ac:dyDescent="0.25">
      <c r="A240" s="89">
        <v>45501</v>
      </c>
      <c r="B240">
        <v>11.05</v>
      </c>
      <c r="C240" s="82">
        <v>-4.3299999999999998E-2</v>
      </c>
      <c r="D240" s="92">
        <v>1430.9</v>
      </c>
      <c r="E240" s="90">
        <v>-2.6100000000000002E-2</v>
      </c>
    </row>
    <row r="241" spans="1:5" x14ac:dyDescent="0.25">
      <c r="A241" s="89">
        <v>45508</v>
      </c>
      <c r="B241">
        <v>11.4</v>
      </c>
      <c r="C241" s="82">
        <v>3.1699999999999999E-2</v>
      </c>
      <c r="D241" s="92">
        <v>1383.31</v>
      </c>
      <c r="E241" s="90">
        <v>-3.3300000000000003E-2</v>
      </c>
    </row>
    <row r="242" spans="1:5" x14ac:dyDescent="0.25">
      <c r="A242" s="89">
        <v>45515</v>
      </c>
      <c r="B242">
        <v>12</v>
      </c>
      <c r="C242" s="82">
        <v>5.2600000000000001E-2</v>
      </c>
      <c r="D242" s="92">
        <v>1431.88</v>
      </c>
      <c r="E242" s="90">
        <v>3.5099999999999999E-2</v>
      </c>
    </row>
    <row r="243" spans="1:5" x14ac:dyDescent="0.25">
      <c r="A243" s="89">
        <v>45522</v>
      </c>
      <c r="B243">
        <v>12.3</v>
      </c>
      <c r="C243" s="82">
        <v>2.5000000000000001E-2</v>
      </c>
      <c r="D243" s="92">
        <v>1432.6</v>
      </c>
      <c r="E243" s="90">
        <v>5.0000000000000001E-4</v>
      </c>
    </row>
    <row r="244" spans="1:5" x14ac:dyDescent="0.25">
      <c r="A244" s="89">
        <v>45529</v>
      </c>
      <c r="B244">
        <v>12.2</v>
      </c>
      <c r="C244" s="82">
        <v>-8.0999999999999996E-3</v>
      </c>
      <c r="D244" s="92">
        <v>1431.19</v>
      </c>
      <c r="E244" s="90">
        <v>-1E-3</v>
      </c>
    </row>
    <row r="245" spans="1:5" x14ac:dyDescent="0.25">
      <c r="A245" s="89">
        <v>45536</v>
      </c>
      <c r="B245">
        <v>12.35</v>
      </c>
      <c r="C245" s="82">
        <v>1.23E-2</v>
      </c>
      <c r="D245" s="92">
        <v>1443.13</v>
      </c>
      <c r="E245" s="90">
        <v>8.3000000000000001E-3</v>
      </c>
    </row>
    <row r="246" spans="1:5" x14ac:dyDescent="0.25">
      <c r="A246" s="89">
        <v>45543</v>
      </c>
      <c r="B246">
        <v>12.4</v>
      </c>
      <c r="C246" s="82">
        <v>4.0000000000000001E-3</v>
      </c>
      <c r="D246" s="92">
        <v>1419.24</v>
      </c>
      <c r="E246" s="90">
        <v>-1.66E-2</v>
      </c>
    </row>
    <row r="247" spans="1:5" x14ac:dyDescent="0.25">
      <c r="A247" s="89">
        <v>45550</v>
      </c>
      <c r="B247">
        <v>13.1</v>
      </c>
      <c r="C247" s="82">
        <v>5.6500000000000002E-2</v>
      </c>
      <c r="D247" s="92">
        <v>1425.19</v>
      </c>
      <c r="E247" s="90">
        <v>4.1999999999999997E-3</v>
      </c>
    </row>
    <row r="248" spans="1:5" x14ac:dyDescent="0.25">
      <c r="A248" s="89">
        <v>45557</v>
      </c>
      <c r="B248">
        <v>13.45</v>
      </c>
      <c r="C248" s="82">
        <v>2.6700000000000002E-2</v>
      </c>
      <c r="D248" s="92">
        <v>1468.7</v>
      </c>
      <c r="E248" s="90">
        <v>3.0499999999999999E-2</v>
      </c>
    </row>
    <row r="249" spans="1:5" x14ac:dyDescent="0.25">
      <c r="A249" s="89">
        <v>45564</v>
      </c>
      <c r="B249">
        <v>13.1</v>
      </c>
      <c r="C249" s="82">
        <v>-2.5999999999999999E-2</v>
      </c>
      <c r="D249" s="92">
        <v>1437.88</v>
      </c>
      <c r="E249" s="90">
        <v>-2.1000000000000001E-2</v>
      </c>
    </row>
    <row r="250" spans="1:5" x14ac:dyDescent="0.25">
      <c r="A250" s="89">
        <v>45571</v>
      </c>
      <c r="B250">
        <v>13.2</v>
      </c>
      <c r="C250" s="82">
        <v>7.6E-3</v>
      </c>
      <c r="D250" s="92">
        <v>1416.78</v>
      </c>
      <c r="E250" s="90">
        <v>-1.47E-2</v>
      </c>
    </row>
    <row r="251" spans="1:5" x14ac:dyDescent="0.25">
      <c r="A251" s="89">
        <v>45578</v>
      </c>
      <c r="B251">
        <v>13.15</v>
      </c>
      <c r="C251" s="82">
        <v>-3.8E-3</v>
      </c>
      <c r="D251" s="92">
        <v>1443.57</v>
      </c>
      <c r="E251" s="90">
        <v>1.89E-2</v>
      </c>
    </row>
    <row r="252" spans="1:5" x14ac:dyDescent="0.25">
      <c r="A252" s="89">
        <v>45585</v>
      </c>
      <c r="B252">
        <v>13.95</v>
      </c>
      <c r="C252" s="82">
        <v>6.08E-2</v>
      </c>
      <c r="D252" s="92">
        <v>1390.25</v>
      </c>
      <c r="E252" s="90">
        <v>-3.6900000000000002E-2</v>
      </c>
    </row>
    <row r="253" spans="1:5" x14ac:dyDescent="0.25">
      <c r="A253" s="89">
        <v>45592</v>
      </c>
      <c r="B253">
        <v>13.6</v>
      </c>
      <c r="C253" s="82">
        <v>-2.5100000000000001E-2</v>
      </c>
      <c r="D253" s="92">
        <v>1390.49</v>
      </c>
      <c r="E253" s="90">
        <v>2.0000000000000001E-4</v>
      </c>
    </row>
    <row r="254" spans="1:5" x14ac:dyDescent="0.25">
      <c r="A254" s="89">
        <v>45599</v>
      </c>
      <c r="B254">
        <v>14.1</v>
      </c>
      <c r="C254" s="82">
        <v>3.6799999999999999E-2</v>
      </c>
      <c r="D254" s="92">
        <v>1413.13</v>
      </c>
      <c r="E254" s="90">
        <v>1.6299999999999999E-2</v>
      </c>
    </row>
    <row r="255" spans="1:5" x14ac:dyDescent="0.25">
      <c r="A255" s="89">
        <v>45606</v>
      </c>
      <c r="B255">
        <v>14.4</v>
      </c>
      <c r="C255" s="82">
        <v>2.1299999999999999E-2</v>
      </c>
      <c r="D255" s="92">
        <v>1403.87</v>
      </c>
      <c r="E255" s="90">
        <v>-6.6E-3</v>
      </c>
    </row>
    <row r="256" spans="1:5" x14ac:dyDescent="0.25">
      <c r="A256" s="89">
        <v>45613</v>
      </c>
      <c r="B256">
        <v>14.3</v>
      </c>
      <c r="C256" s="82">
        <v>-6.8999999999999999E-3</v>
      </c>
      <c r="D256" s="92">
        <v>1401.58</v>
      </c>
      <c r="E256" s="90">
        <v>-1.6000000000000001E-3</v>
      </c>
    </row>
    <row r="257" spans="1:5" x14ac:dyDescent="0.25">
      <c r="A257" s="89">
        <v>45620</v>
      </c>
      <c r="B257">
        <v>14.3</v>
      </c>
      <c r="C257" s="82">
        <v>0</v>
      </c>
      <c r="D257" s="92">
        <v>1393.49</v>
      </c>
      <c r="E257" s="90">
        <v>-5.7999999999999996E-3</v>
      </c>
    </row>
    <row r="258" spans="1:5" x14ac:dyDescent="0.25">
      <c r="A258" s="89">
        <v>45627</v>
      </c>
      <c r="B258">
        <v>15.25</v>
      </c>
      <c r="C258" s="82">
        <v>6.6400000000000001E-2</v>
      </c>
      <c r="D258" s="92">
        <v>1456.52</v>
      </c>
      <c r="E258" s="90">
        <v>4.5199999999999997E-2</v>
      </c>
    </row>
    <row r="259" spans="1:5" x14ac:dyDescent="0.25">
      <c r="A259" s="89">
        <v>45634</v>
      </c>
      <c r="B259">
        <v>15.2</v>
      </c>
      <c r="C259" s="82">
        <v>-3.3E-3</v>
      </c>
      <c r="D259" s="92">
        <v>1469.32</v>
      </c>
      <c r="E259" s="90">
        <v>8.8000000000000005E-3</v>
      </c>
    </row>
    <row r="260" spans="1:5" x14ac:dyDescent="0.25">
      <c r="A260" s="89">
        <v>45641</v>
      </c>
      <c r="B260">
        <v>15.35</v>
      </c>
      <c r="C260" s="82">
        <v>9.9000000000000008E-3</v>
      </c>
      <c r="D260" s="92">
        <v>1452.5</v>
      </c>
      <c r="E260" s="90">
        <v>-1.14E-2</v>
      </c>
    </row>
    <row r="261" spans="1:5" x14ac:dyDescent="0.25">
      <c r="A261" s="89">
        <v>45648</v>
      </c>
      <c r="B261">
        <v>15</v>
      </c>
      <c r="C261" s="82">
        <v>-2.2800000000000001E-2</v>
      </c>
      <c r="D261" s="92">
        <v>1457.38</v>
      </c>
      <c r="E261" s="90">
        <v>3.3999999999999998E-3</v>
      </c>
    </row>
    <row r="262" spans="1:5" x14ac:dyDescent="0.25">
      <c r="A262" s="89">
        <v>45655</v>
      </c>
      <c r="B262">
        <v>15.55</v>
      </c>
      <c r="C262" s="82">
        <v>3.6700000000000003E-2</v>
      </c>
      <c r="D262" s="92">
        <v>1486.83</v>
      </c>
      <c r="E262" s="90">
        <v>2.0199999999999999E-2</v>
      </c>
    </row>
    <row r="263" spans="1:5" x14ac:dyDescent="0.25">
      <c r="A263" s="93">
        <v>45298</v>
      </c>
      <c r="B263" s="94">
        <v>9.8800000000000008</v>
      </c>
      <c r="C263" s="95">
        <v>8.2000000000000007E-3</v>
      </c>
      <c r="D263" s="96">
        <v>1352.65</v>
      </c>
      <c r="E263" s="95">
        <v>3.1199999999999999E-2</v>
      </c>
    </row>
    <row r="264" spans="1:5" x14ac:dyDescent="0.25">
      <c r="A264" s="93">
        <v>45305</v>
      </c>
      <c r="B264" s="94">
        <v>9.92</v>
      </c>
      <c r="C264" s="95">
        <v>4.0000000000000001E-3</v>
      </c>
      <c r="D264" s="96">
        <v>1340.03</v>
      </c>
      <c r="E264" s="95">
        <v>-9.2999999999999992E-3</v>
      </c>
    </row>
    <row r="265" spans="1:5" x14ac:dyDescent="0.25">
      <c r="A265" s="93">
        <v>45312</v>
      </c>
      <c r="B265" s="94">
        <v>9.8800000000000008</v>
      </c>
      <c r="C265" s="95">
        <v>-4.0000000000000001E-3</v>
      </c>
      <c r="D265" s="96">
        <v>1360.89</v>
      </c>
      <c r="E265" s="95">
        <v>1.5599999999999999E-2</v>
      </c>
    </row>
    <row r="266" spans="1:5" x14ac:dyDescent="0.25">
      <c r="A266" s="93">
        <v>45319</v>
      </c>
      <c r="B266" s="94">
        <v>9.9</v>
      </c>
      <c r="C266" s="95">
        <v>2E-3</v>
      </c>
      <c r="D266" s="96">
        <v>1385.01</v>
      </c>
      <c r="E266" s="95">
        <v>1.77E-2</v>
      </c>
    </row>
    <row r="267" spans="1:5" x14ac:dyDescent="0.25">
      <c r="A267" s="93">
        <v>45326</v>
      </c>
      <c r="B267" s="94">
        <v>9.9</v>
      </c>
      <c r="C267" s="95">
        <v>0</v>
      </c>
      <c r="D267" s="96">
        <v>1401.01</v>
      </c>
      <c r="E267" s="95">
        <v>1.1599999999999999E-2</v>
      </c>
    </row>
    <row r="268" spans="1:5" x14ac:dyDescent="0.25">
      <c r="A268" s="93">
        <v>45333</v>
      </c>
      <c r="B268" s="94">
        <v>9.9</v>
      </c>
      <c r="C268" s="95">
        <v>0</v>
      </c>
      <c r="D268" s="96">
        <v>1405.32</v>
      </c>
      <c r="E268" s="95">
        <v>3.0999999999999999E-3</v>
      </c>
    </row>
    <row r="269" spans="1:5" x14ac:dyDescent="0.25">
      <c r="A269" s="93">
        <v>45340</v>
      </c>
      <c r="B269" s="94">
        <v>10.55</v>
      </c>
      <c r="C269" s="95">
        <v>6.5699999999999995E-2</v>
      </c>
      <c r="D269" s="96">
        <v>1413.26</v>
      </c>
      <c r="E269" s="95">
        <v>5.7000000000000002E-3</v>
      </c>
    </row>
    <row r="270" spans="1:5" x14ac:dyDescent="0.25">
      <c r="A270" s="93">
        <v>45347</v>
      </c>
      <c r="B270" s="94">
        <v>10.85</v>
      </c>
      <c r="C270" s="95">
        <v>2.8400000000000002E-2</v>
      </c>
      <c r="D270" s="96">
        <v>1422.75</v>
      </c>
      <c r="E270" s="95">
        <v>6.7000000000000002E-3</v>
      </c>
    </row>
    <row r="271" spans="1:5" x14ac:dyDescent="0.25">
      <c r="A271" s="93">
        <v>45354</v>
      </c>
      <c r="B271" s="94">
        <v>10.95</v>
      </c>
      <c r="C271" s="95">
        <v>9.1999999999999998E-3</v>
      </c>
      <c r="D271" s="96">
        <v>1427.02</v>
      </c>
      <c r="E271" s="95">
        <v>3.0000000000000001E-3</v>
      </c>
    </row>
    <row r="272" spans="1:5" x14ac:dyDescent="0.25">
      <c r="A272" s="93">
        <v>45361</v>
      </c>
      <c r="B272" s="94">
        <v>12</v>
      </c>
      <c r="C272" s="95">
        <v>9.5899999999999999E-2</v>
      </c>
      <c r="D272" s="96">
        <v>1422.03</v>
      </c>
      <c r="E272" s="95">
        <v>-3.5000000000000001E-3</v>
      </c>
    </row>
    <row r="273" spans="1:5" x14ac:dyDescent="0.25">
      <c r="A273" s="93">
        <v>45368</v>
      </c>
      <c r="B273" s="94">
        <v>11.8</v>
      </c>
      <c r="C273" s="95">
        <v>-1.67E-2</v>
      </c>
      <c r="D273" s="96">
        <v>1425.16</v>
      </c>
      <c r="E273" s="95">
        <v>2.2000000000000001E-3</v>
      </c>
    </row>
    <row r="274" spans="1:5" x14ac:dyDescent="0.25">
      <c r="A274" s="93">
        <v>45375</v>
      </c>
      <c r="B274" s="94">
        <v>11.7</v>
      </c>
      <c r="C274" s="95">
        <v>-8.5000000000000006E-3</v>
      </c>
      <c r="D274" s="96">
        <v>1422.35</v>
      </c>
      <c r="E274" s="95">
        <v>-2E-3</v>
      </c>
    </row>
    <row r="275" spans="1:5" x14ac:dyDescent="0.25">
      <c r="A275" s="93">
        <v>45382</v>
      </c>
      <c r="B275" s="94">
        <v>10.9</v>
      </c>
      <c r="C275" s="95">
        <v>-6.8400000000000002E-2</v>
      </c>
      <c r="D275" s="96">
        <v>1383.45</v>
      </c>
      <c r="E275" s="95">
        <v>-2.7300000000000001E-2</v>
      </c>
    </row>
    <row r="276" spans="1:5" x14ac:dyDescent="0.25">
      <c r="A276" s="93">
        <v>45389</v>
      </c>
      <c r="B276" s="94">
        <v>11.3</v>
      </c>
      <c r="C276" s="95">
        <v>3.6700000000000003E-2</v>
      </c>
      <c r="D276" s="96">
        <v>1400.61</v>
      </c>
      <c r="E276" s="95">
        <v>1.24E-2</v>
      </c>
    </row>
    <row r="277" spans="1:5" x14ac:dyDescent="0.25">
      <c r="A277" s="93">
        <v>45396</v>
      </c>
      <c r="B277" s="94">
        <v>11.2</v>
      </c>
      <c r="C277" s="95">
        <v>-8.8000000000000005E-3</v>
      </c>
      <c r="D277" s="96">
        <v>1392.62</v>
      </c>
      <c r="E277" s="95">
        <v>-5.7000000000000002E-3</v>
      </c>
    </row>
    <row r="278" spans="1:5" x14ac:dyDescent="0.25">
      <c r="A278" s="93">
        <v>45403</v>
      </c>
      <c r="B278" s="94">
        <v>10.95</v>
      </c>
      <c r="C278" s="95">
        <v>-2.23E-2</v>
      </c>
      <c r="D278" s="96">
        <v>1454.98</v>
      </c>
      <c r="E278" s="95">
        <v>4.48E-2</v>
      </c>
    </row>
    <row r="279" spans="1:5" x14ac:dyDescent="0.25">
      <c r="A279" s="93">
        <v>45410</v>
      </c>
      <c r="B279" s="94">
        <v>10.6</v>
      </c>
      <c r="C279" s="95">
        <v>-3.2000000000000001E-2</v>
      </c>
      <c r="D279" s="96">
        <v>1452.24</v>
      </c>
      <c r="E279" s="95">
        <v>-1.9E-3</v>
      </c>
    </row>
    <row r="280" spans="1:5" x14ac:dyDescent="0.25">
      <c r="A280" s="93">
        <v>45417</v>
      </c>
      <c r="B280" s="94">
        <v>10.65</v>
      </c>
      <c r="C280" s="95">
        <v>4.7000000000000002E-3</v>
      </c>
      <c r="D280" s="96">
        <v>1484.06</v>
      </c>
      <c r="E280" s="95">
        <v>2.1899999999999999E-2</v>
      </c>
    </row>
    <row r="281" spans="1:5" x14ac:dyDescent="0.25">
      <c r="A281" s="93">
        <v>45424</v>
      </c>
      <c r="B281" s="94">
        <v>11</v>
      </c>
      <c r="C281" s="95">
        <v>3.2899999999999999E-2</v>
      </c>
      <c r="D281" s="96">
        <v>1490.46</v>
      </c>
      <c r="E281" s="95">
        <v>4.3E-3</v>
      </c>
    </row>
    <row r="282" spans="1:5" x14ac:dyDescent="0.25">
      <c r="A282" s="93">
        <v>45431</v>
      </c>
      <c r="B282" s="94">
        <v>11.3</v>
      </c>
      <c r="C282" s="95">
        <v>2.7300000000000001E-2</v>
      </c>
      <c r="D282" s="96">
        <v>1477.69</v>
      </c>
      <c r="E282" s="95">
        <v>-8.6E-3</v>
      </c>
    </row>
    <row r="283" spans="1:5" x14ac:dyDescent="0.25">
      <c r="A283" s="93">
        <v>45438</v>
      </c>
      <c r="B283" s="94">
        <v>11.15</v>
      </c>
      <c r="C283" s="95">
        <v>-1.3299999999999999E-2</v>
      </c>
      <c r="D283" s="96">
        <v>1431.84</v>
      </c>
      <c r="E283" s="95">
        <v>-3.1E-2</v>
      </c>
    </row>
    <row r="284" spans="1:5" x14ac:dyDescent="0.25">
      <c r="A284" s="93">
        <v>45445</v>
      </c>
      <c r="B284" s="94">
        <v>11</v>
      </c>
      <c r="C284" s="95">
        <v>-1.35E-2</v>
      </c>
      <c r="D284" s="96">
        <v>1458.37</v>
      </c>
      <c r="E284" s="95">
        <v>1.8499999999999999E-2</v>
      </c>
    </row>
    <row r="285" spans="1:5" x14ac:dyDescent="0.25">
      <c r="A285" s="93">
        <v>45452</v>
      </c>
      <c r="B285" s="94">
        <v>10.5</v>
      </c>
      <c r="C285" s="95">
        <v>-4.5499999999999999E-2</v>
      </c>
      <c r="D285" s="96">
        <v>1406.91</v>
      </c>
      <c r="E285" s="95">
        <v>-3.5299999999999998E-2</v>
      </c>
    </row>
    <row r="286" spans="1:5" x14ac:dyDescent="0.25">
      <c r="A286" s="93">
        <v>45459</v>
      </c>
      <c r="B286" s="94">
        <v>10.65</v>
      </c>
      <c r="C286" s="95">
        <v>1.43E-2</v>
      </c>
      <c r="D286" s="96">
        <v>1424.04</v>
      </c>
      <c r="E286" s="95">
        <v>1.2200000000000001E-2</v>
      </c>
    </row>
    <row r="287" spans="1:5" x14ac:dyDescent="0.25">
      <c r="A287" s="93">
        <v>45466</v>
      </c>
      <c r="B287" s="94">
        <v>11.35</v>
      </c>
      <c r="C287" s="95">
        <v>6.5699999999999995E-2</v>
      </c>
      <c r="D287" s="96">
        <v>1404.26</v>
      </c>
      <c r="E287" s="95">
        <v>-1.3899999999999999E-2</v>
      </c>
    </row>
    <row r="288" spans="1:5" x14ac:dyDescent="0.25">
      <c r="A288" s="93">
        <v>45473</v>
      </c>
      <c r="B288" s="94">
        <v>11.6</v>
      </c>
      <c r="C288" s="95">
        <v>2.1999999999999999E-2</v>
      </c>
      <c r="D288" s="96">
        <v>1440.52</v>
      </c>
      <c r="E288" s="95">
        <v>2.58E-2</v>
      </c>
    </row>
    <row r="289" spans="1:5" x14ac:dyDescent="0.25">
      <c r="A289" s="93">
        <v>45480</v>
      </c>
      <c r="B289" s="94">
        <v>11.5</v>
      </c>
      <c r="C289" s="95">
        <v>-8.6E-3</v>
      </c>
      <c r="D289" s="96">
        <v>1452.28</v>
      </c>
      <c r="E289" s="95">
        <v>8.2000000000000007E-3</v>
      </c>
    </row>
    <row r="290" spans="1:5" x14ac:dyDescent="0.25">
      <c r="A290" s="93">
        <v>45487</v>
      </c>
      <c r="B290" s="94">
        <v>11.4</v>
      </c>
      <c r="C290" s="95">
        <v>-8.6999999999999994E-3</v>
      </c>
      <c r="D290" s="96">
        <v>1464.39</v>
      </c>
      <c r="E290" s="95">
        <v>8.3000000000000001E-3</v>
      </c>
    </row>
    <row r="291" spans="1:5" x14ac:dyDescent="0.25">
      <c r="A291" s="93">
        <v>45494</v>
      </c>
      <c r="B291" s="94">
        <v>11.55</v>
      </c>
      <c r="C291" s="95">
        <v>1.32E-2</v>
      </c>
      <c r="D291" s="96">
        <v>1469.25</v>
      </c>
      <c r="E291" s="95">
        <v>3.3E-3</v>
      </c>
    </row>
    <row r="292" spans="1:5" x14ac:dyDescent="0.25">
      <c r="A292" s="93">
        <v>45501</v>
      </c>
      <c r="B292" s="94">
        <v>11.05</v>
      </c>
      <c r="C292" s="95">
        <v>-4.3299999999999998E-2</v>
      </c>
      <c r="D292" s="96">
        <v>1430.9</v>
      </c>
      <c r="E292" s="95">
        <v>-2.6100000000000002E-2</v>
      </c>
    </row>
    <row r="293" spans="1:5" x14ac:dyDescent="0.25">
      <c r="A293" s="93">
        <v>45508</v>
      </c>
      <c r="B293" s="94">
        <v>11.4</v>
      </c>
      <c r="C293" s="95">
        <v>3.1699999999999999E-2</v>
      </c>
      <c r="D293" s="96">
        <v>1383.31</v>
      </c>
      <c r="E293" s="95">
        <v>-3.3300000000000003E-2</v>
      </c>
    </row>
    <row r="294" spans="1:5" x14ac:dyDescent="0.25">
      <c r="A294" s="93">
        <v>45515</v>
      </c>
      <c r="B294" s="94">
        <v>12</v>
      </c>
      <c r="C294" s="95">
        <v>5.2600000000000001E-2</v>
      </c>
      <c r="D294" s="96">
        <v>1431.88</v>
      </c>
      <c r="E294" s="95">
        <v>3.5099999999999999E-2</v>
      </c>
    </row>
    <row r="295" spans="1:5" x14ac:dyDescent="0.25">
      <c r="A295" s="93">
        <v>45522</v>
      </c>
      <c r="B295" s="94">
        <v>12.3</v>
      </c>
      <c r="C295" s="95">
        <v>2.5000000000000001E-2</v>
      </c>
      <c r="D295" s="96">
        <v>1432.6</v>
      </c>
      <c r="E295" s="95">
        <v>5.0000000000000001E-4</v>
      </c>
    </row>
    <row r="296" spans="1:5" x14ac:dyDescent="0.25">
      <c r="A296" s="93">
        <v>45529</v>
      </c>
      <c r="B296" s="94">
        <v>12.2</v>
      </c>
      <c r="C296" s="95">
        <v>-8.0999999999999996E-3</v>
      </c>
      <c r="D296" s="96">
        <v>1431.19</v>
      </c>
      <c r="E296" s="95">
        <v>-1E-3</v>
      </c>
    </row>
    <row r="297" spans="1:5" x14ac:dyDescent="0.25">
      <c r="A297" s="93">
        <v>45536</v>
      </c>
      <c r="B297" s="94">
        <v>12.35</v>
      </c>
      <c r="C297" s="95">
        <v>1.23E-2</v>
      </c>
      <c r="D297" s="96">
        <v>1443.13</v>
      </c>
      <c r="E297" s="95">
        <v>8.3000000000000001E-3</v>
      </c>
    </row>
    <row r="298" spans="1:5" x14ac:dyDescent="0.25">
      <c r="A298" s="93">
        <v>45543</v>
      </c>
      <c r="B298" s="94">
        <v>12.4</v>
      </c>
      <c r="C298" s="95">
        <v>4.0000000000000001E-3</v>
      </c>
      <c r="D298" s="96">
        <v>1419.24</v>
      </c>
      <c r="E298" s="95">
        <v>-1.66E-2</v>
      </c>
    </row>
    <row r="299" spans="1:5" x14ac:dyDescent="0.25">
      <c r="A299" s="93">
        <v>45550</v>
      </c>
      <c r="B299" s="94">
        <v>13.1</v>
      </c>
      <c r="C299" s="95">
        <v>5.6500000000000002E-2</v>
      </c>
      <c r="D299" s="96">
        <v>1425.19</v>
      </c>
      <c r="E299" s="95">
        <v>4.1999999999999997E-3</v>
      </c>
    </row>
    <row r="300" spans="1:5" x14ac:dyDescent="0.25">
      <c r="A300" s="93">
        <v>45557</v>
      </c>
      <c r="B300" s="94">
        <v>13.45</v>
      </c>
      <c r="C300" s="95">
        <v>2.6700000000000002E-2</v>
      </c>
      <c r="D300" s="96">
        <v>1468.7</v>
      </c>
      <c r="E300" s="95">
        <v>3.0499999999999999E-2</v>
      </c>
    </row>
    <row r="301" spans="1:5" x14ac:dyDescent="0.25">
      <c r="A301" s="93">
        <v>45564</v>
      </c>
      <c r="B301" s="94">
        <v>13.1</v>
      </c>
      <c r="C301" s="95">
        <v>-2.5999999999999999E-2</v>
      </c>
      <c r="D301" s="96">
        <v>1437.88</v>
      </c>
      <c r="E301" s="95">
        <v>-2.1000000000000001E-2</v>
      </c>
    </row>
    <row r="302" spans="1:5" x14ac:dyDescent="0.25">
      <c r="A302" s="93">
        <v>45571</v>
      </c>
      <c r="B302" s="94">
        <v>13.2</v>
      </c>
      <c r="C302" s="95">
        <v>7.6E-3</v>
      </c>
      <c r="D302" s="96">
        <v>1416.78</v>
      </c>
      <c r="E302" s="95">
        <v>-1.47E-2</v>
      </c>
    </row>
    <row r="303" spans="1:5" x14ac:dyDescent="0.25">
      <c r="A303" s="93">
        <v>45578</v>
      </c>
      <c r="B303" s="94">
        <v>13.15</v>
      </c>
      <c r="C303" s="95">
        <v>-3.8E-3</v>
      </c>
      <c r="D303" s="96">
        <v>1443.57</v>
      </c>
      <c r="E303" s="95">
        <v>1.89E-2</v>
      </c>
    </row>
    <row r="304" spans="1:5" x14ac:dyDescent="0.25">
      <c r="A304" s="93">
        <v>45585</v>
      </c>
      <c r="B304" s="94">
        <v>13.95</v>
      </c>
      <c r="C304" s="95">
        <v>6.08E-2</v>
      </c>
      <c r="D304" s="96">
        <v>1390.25</v>
      </c>
      <c r="E304" s="95">
        <v>-3.6900000000000002E-2</v>
      </c>
    </row>
    <row r="305" spans="1:5" x14ac:dyDescent="0.25">
      <c r="A305" s="93">
        <v>45592</v>
      </c>
      <c r="B305" s="94">
        <v>13.6</v>
      </c>
      <c r="C305" s="95">
        <v>-2.5100000000000001E-2</v>
      </c>
      <c r="D305" s="96">
        <v>1390.49</v>
      </c>
      <c r="E305" s="95">
        <v>2.0000000000000001E-4</v>
      </c>
    </row>
    <row r="306" spans="1:5" x14ac:dyDescent="0.25">
      <c r="A306" s="93">
        <v>45599</v>
      </c>
      <c r="B306" s="94">
        <v>14.1</v>
      </c>
      <c r="C306" s="95">
        <v>3.6799999999999999E-2</v>
      </c>
      <c r="D306" s="96">
        <v>1413.13</v>
      </c>
      <c r="E306" s="95">
        <v>1.6299999999999999E-2</v>
      </c>
    </row>
    <row r="307" spans="1:5" x14ac:dyDescent="0.25">
      <c r="A307" s="93">
        <v>45606</v>
      </c>
      <c r="B307" s="94">
        <v>14.4</v>
      </c>
      <c r="C307" s="95">
        <v>2.1299999999999999E-2</v>
      </c>
      <c r="D307" s="96">
        <v>1403.87</v>
      </c>
      <c r="E307" s="95">
        <v>-6.6E-3</v>
      </c>
    </row>
    <row r="308" spans="1:5" x14ac:dyDescent="0.25">
      <c r="A308" s="93">
        <v>45613</v>
      </c>
      <c r="B308" s="94">
        <v>14.3</v>
      </c>
      <c r="C308" s="95">
        <v>-6.8999999999999999E-3</v>
      </c>
      <c r="D308" s="96">
        <v>1401.58</v>
      </c>
      <c r="E308" s="95">
        <v>-1.6000000000000001E-3</v>
      </c>
    </row>
    <row r="309" spans="1:5" x14ac:dyDescent="0.25">
      <c r="A309" s="93">
        <v>45620</v>
      </c>
      <c r="B309" s="94">
        <v>14.3</v>
      </c>
      <c r="C309" s="95">
        <v>0</v>
      </c>
      <c r="D309" s="96">
        <v>1393.49</v>
      </c>
      <c r="E309" s="95">
        <v>-5.7999999999999996E-3</v>
      </c>
    </row>
    <row r="310" spans="1:5" x14ac:dyDescent="0.25">
      <c r="A310" s="93">
        <v>45627</v>
      </c>
      <c r="B310" s="94">
        <v>15.25</v>
      </c>
      <c r="C310" s="95">
        <v>6.6400000000000001E-2</v>
      </c>
      <c r="D310" s="96">
        <v>1456.52</v>
      </c>
      <c r="E310" s="95">
        <v>4.5199999999999997E-2</v>
      </c>
    </row>
    <row r="311" spans="1:5" x14ac:dyDescent="0.25">
      <c r="A311" s="93">
        <v>45634</v>
      </c>
      <c r="B311" s="94">
        <v>15.2</v>
      </c>
      <c r="C311" s="95">
        <v>-3.3E-3</v>
      </c>
      <c r="D311" s="96">
        <v>1469.32</v>
      </c>
      <c r="E311" s="95">
        <v>8.8000000000000005E-3</v>
      </c>
    </row>
    <row r="312" spans="1:5" x14ac:dyDescent="0.25">
      <c r="A312" s="93">
        <v>45641</v>
      </c>
      <c r="B312" s="94">
        <v>15.35</v>
      </c>
      <c r="C312" s="95">
        <v>9.9000000000000008E-3</v>
      </c>
      <c r="D312" s="96">
        <v>1452.5</v>
      </c>
      <c r="E312" s="95">
        <v>-1.14E-2</v>
      </c>
    </row>
    <row r="313" spans="1:5" x14ac:dyDescent="0.25">
      <c r="A313" s="93">
        <v>45648</v>
      </c>
      <c r="B313" s="94">
        <v>15</v>
      </c>
      <c r="C313" s="95">
        <v>-2.2800000000000001E-2</v>
      </c>
      <c r="D313" s="96">
        <v>1457.38</v>
      </c>
      <c r="E313" s="95">
        <v>3.3999999999999998E-3</v>
      </c>
    </row>
    <row r="314" spans="1:5" x14ac:dyDescent="0.25">
      <c r="A314" s="93">
        <v>45655</v>
      </c>
      <c r="B314" s="94">
        <v>15.55</v>
      </c>
      <c r="C314" s="95">
        <v>3.6700000000000003E-2</v>
      </c>
      <c r="D314" s="96">
        <v>1486.83</v>
      </c>
      <c r="E314" s="95">
        <v>2.0199999999999999E-2</v>
      </c>
    </row>
    <row r="315" spans="1:5" x14ac:dyDescent="0.25">
      <c r="A315" s="93">
        <v>45662</v>
      </c>
      <c r="B315" s="94">
        <v>15.8</v>
      </c>
      <c r="C315" s="95">
        <v>1.61E-2</v>
      </c>
      <c r="D315" s="96">
        <v>1503.73</v>
      </c>
      <c r="E315" s="95">
        <v>1.14E-2</v>
      </c>
    </row>
    <row r="316" spans="1:5" x14ac:dyDescent="0.25">
      <c r="A316" s="93">
        <v>45669</v>
      </c>
      <c r="B316" s="94">
        <v>15.95</v>
      </c>
      <c r="C316" s="95">
        <v>9.4999999999999998E-3</v>
      </c>
      <c r="D316" s="96">
        <v>1524.67</v>
      </c>
      <c r="E316" s="95">
        <v>1.3899999999999999E-2</v>
      </c>
    </row>
    <row r="317" spans="1:5" x14ac:dyDescent="0.25">
      <c r="A317" s="93">
        <v>45676</v>
      </c>
      <c r="B317" s="94">
        <v>15.7</v>
      </c>
      <c r="C317" s="95">
        <v>-1.5699999999999999E-2</v>
      </c>
      <c r="D317" s="96">
        <v>1544.13</v>
      </c>
      <c r="E317" s="95">
        <v>1.2800000000000001E-2</v>
      </c>
    </row>
    <row r="318" spans="1:5" x14ac:dyDescent="0.25">
      <c r="A318" s="93">
        <v>45683</v>
      </c>
      <c r="B318" s="94">
        <v>16.05</v>
      </c>
      <c r="C318" s="95">
        <v>2.23E-2</v>
      </c>
      <c r="D318" s="96">
        <v>1549.32</v>
      </c>
      <c r="E318" s="95">
        <v>3.3999999999999998E-3</v>
      </c>
    </row>
    <row r="319" spans="1:5" x14ac:dyDescent="0.25">
      <c r="A319" s="93">
        <v>45690</v>
      </c>
      <c r="B319" s="94">
        <v>16.2</v>
      </c>
      <c r="C319" s="95">
        <v>9.2999999999999992E-3</v>
      </c>
      <c r="D319" s="96">
        <v>1557.83</v>
      </c>
      <c r="E319" s="95">
        <v>5.4999999999999997E-3</v>
      </c>
    </row>
    <row r="320" spans="1:5" x14ac:dyDescent="0.25">
      <c r="A320" s="93">
        <v>45697</v>
      </c>
      <c r="B320" s="94">
        <v>16.600000000000001</v>
      </c>
      <c r="C320" s="95">
        <v>2.47E-2</v>
      </c>
      <c r="D320" s="96">
        <v>1604.29</v>
      </c>
      <c r="E320" s="95">
        <v>2.98E-2</v>
      </c>
    </row>
    <row r="321" spans="1:5" x14ac:dyDescent="0.25">
      <c r="A321" s="93">
        <v>45704</v>
      </c>
      <c r="B321" s="94">
        <v>16.5</v>
      </c>
      <c r="C321" s="95">
        <v>-6.0000000000000001E-3</v>
      </c>
      <c r="D321" s="96">
        <v>1618.16</v>
      </c>
      <c r="E321" s="95">
        <v>8.6E-3</v>
      </c>
    </row>
    <row r="322" spans="1:5" x14ac:dyDescent="0.25">
      <c r="A322" s="93">
        <v>45711</v>
      </c>
      <c r="B322" s="94">
        <v>16.600000000000001</v>
      </c>
      <c r="C322" s="95">
        <v>6.1000000000000004E-3</v>
      </c>
      <c r="D322" s="96">
        <v>1607.79</v>
      </c>
      <c r="E322" s="95">
        <v>-6.4000000000000003E-3</v>
      </c>
    </row>
    <row r="323" spans="1:5" x14ac:dyDescent="0.25">
      <c r="A323" s="93">
        <v>45718</v>
      </c>
      <c r="B323" s="94">
        <v>15.5</v>
      </c>
      <c r="C323" s="95">
        <v>-6.6299999999999998E-2</v>
      </c>
      <c r="D323" s="96">
        <v>1627.36</v>
      </c>
      <c r="E323" s="95">
        <v>1.2200000000000001E-2</v>
      </c>
    </row>
    <row r="324" spans="1:5" x14ac:dyDescent="0.25">
      <c r="A324" s="93">
        <v>45725</v>
      </c>
      <c r="B324" s="94">
        <v>16.05</v>
      </c>
      <c r="C324" s="95">
        <v>3.5499999999999997E-2</v>
      </c>
      <c r="D324" s="96">
        <v>1693.61</v>
      </c>
      <c r="E324" s="95">
        <v>4.07E-2</v>
      </c>
    </row>
    <row r="325" spans="1:5" x14ac:dyDescent="0.25">
      <c r="A325" s="93">
        <v>45732</v>
      </c>
      <c r="B325" s="94">
        <v>15.95</v>
      </c>
      <c r="C325" s="95">
        <v>-6.1999999999999998E-3</v>
      </c>
      <c r="D325" s="96">
        <v>1697.11</v>
      </c>
      <c r="E325" s="95">
        <v>2.0999999999999999E-3</v>
      </c>
    </row>
    <row r="326" spans="1:5" x14ac:dyDescent="0.25">
      <c r="A326" s="93">
        <v>45739</v>
      </c>
      <c r="B326" s="94">
        <v>16.350000000000001</v>
      </c>
      <c r="C326" s="95">
        <v>2.5100000000000001E-2</v>
      </c>
      <c r="D326" s="96">
        <v>1735.68</v>
      </c>
      <c r="E326" s="95">
        <v>2.2700000000000001E-2</v>
      </c>
    </row>
    <row r="327" spans="1:5" x14ac:dyDescent="0.25">
      <c r="A327" s="93">
        <v>45746</v>
      </c>
      <c r="B327" s="94">
        <v>15.45</v>
      </c>
      <c r="C327" s="95">
        <v>-5.5E-2</v>
      </c>
      <c r="D327" s="96">
        <v>1597.55</v>
      </c>
      <c r="E327" s="95">
        <v>-7.9600000000000004E-2</v>
      </c>
    </row>
    <row r="328" spans="1:5" x14ac:dyDescent="0.25">
      <c r="A328" s="93">
        <v>45753</v>
      </c>
      <c r="B328" s="94">
        <v>15.06</v>
      </c>
      <c r="C328" s="95">
        <v>-2.52E-2</v>
      </c>
      <c r="D328" s="96">
        <v>1582.59</v>
      </c>
      <c r="E328" s="95">
        <v>-9.4000000000000004E-3</v>
      </c>
    </row>
    <row r="329" spans="1:5" x14ac:dyDescent="0.25">
      <c r="A329" s="93">
        <v>45760</v>
      </c>
      <c r="B329" s="94">
        <v>14.9</v>
      </c>
      <c r="C329" s="95">
        <v>-1.06E-2</v>
      </c>
      <c r="D329" s="96">
        <v>1642.17</v>
      </c>
      <c r="E329" s="95">
        <v>3.7600000000000001E-2</v>
      </c>
    </row>
    <row r="330" spans="1:5" x14ac:dyDescent="0.25">
      <c r="A330" s="93">
        <v>45767</v>
      </c>
      <c r="B330" s="94">
        <v>14.66</v>
      </c>
      <c r="C330" s="95">
        <v>-1.61E-2</v>
      </c>
      <c r="D330" s="96">
        <v>1705.61</v>
      </c>
      <c r="E330" s="95">
        <v>3.8600000000000002E-2</v>
      </c>
    </row>
    <row r="331" spans="1:5" x14ac:dyDescent="0.25">
      <c r="A331" s="93">
        <v>45774</v>
      </c>
      <c r="B331" s="94">
        <v>15.52</v>
      </c>
      <c r="C331" s="95">
        <v>5.8700000000000002E-2</v>
      </c>
      <c r="D331" s="96">
        <v>1726.13</v>
      </c>
      <c r="E331" s="95">
        <v>1.2E-2</v>
      </c>
    </row>
    <row r="332" spans="1:5" x14ac:dyDescent="0.25">
      <c r="A332" s="93">
        <v>45781</v>
      </c>
      <c r="B332" s="94">
        <v>16.68</v>
      </c>
      <c r="C332" s="95">
        <v>7.4700000000000003E-2</v>
      </c>
      <c r="D332" s="96">
        <v>1750.48</v>
      </c>
      <c r="E332" s="95">
        <v>1.41E-2</v>
      </c>
    </row>
    <row r="333" spans="1:5" x14ac:dyDescent="0.25">
      <c r="A333" s="93">
        <v>45788</v>
      </c>
      <c r="B333" s="94">
        <v>17.46</v>
      </c>
      <c r="C333" s="95">
        <v>4.6800000000000001E-2</v>
      </c>
      <c r="D333" s="96">
        <v>1804.06</v>
      </c>
      <c r="E333" s="95">
        <v>3.0599999999999999E-2</v>
      </c>
    </row>
    <row r="334" spans="1:5" x14ac:dyDescent="0.25">
      <c r="A334" s="93">
        <v>45795</v>
      </c>
      <c r="B334" s="94">
        <v>17.3</v>
      </c>
      <c r="C334" s="95">
        <v>-9.1999999999999998E-3</v>
      </c>
      <c r="D334" s="96">
        <v>1802.34</v>
      </c>
      <c r="E334" s="95">
        <v>-1E-3</v>
      </c>
    </row>
    <row r="335" spans="1:5" x14ac:dyDescent="0.25">
      <c r="A335" s="93">
        <v>45802</v>
      </c>
      <c r="B335" s="94">
        <v>17.38</v>
      </c>
      <c r="C335" s="95">
        <v>4.5999999999999999E-3</v>
      </c>
      <c r="D335" s="96">
        <v>1831.17</v>
      </c>
      <c r="E335" s="95">
        <v>1.6E-2</v>
      </c>
    </row>
    <row r="336" spans="1:5" x14ac:dyDescent="0.25">
      <c r="A336" s="93">
        <v>45809</v>
      </c>
      <c r="B336" s="94">
        <v>17.12</v>
      </c>
      <c r="C336" s="95">
        <v>-1.4999999999999999E-2</v>
      </c>
      <c r="D336" s="96">
        <v>1842.83</v>
      </c>
      <c r="E336" s="95">
        <v>6.4000000000000003E-3</v>
      </c>
    </row>
    <row r="337" spans="1:5" x14ac:dyDescent="0.25">
      <c r="A337" s="93">
        <v>45816</v>
      </c>
      <c r="B337" s="94">
        <v>16.899999999999999</v>
      </c>
      <c r="C337" s="95">
        <v>-1.29E-2</v>
      </c>
      <c r="D337" s="96">
        <v>1835.4</v>
      </c>
      <c r="E337" s="95">
        <v>-4.0000000000000001E-3</v>
      </c>
    </row>
    <row r="338" spans="1:5" x14ac:dyDescent="0.25">
      <c r="A338" s="93">
        <v>45823</v>
      </c>
      <c r="B338" s="94">
        <v>17.5</v>
      </c>
      <c r="C338" s="95">
        <v>3.5499999999999997E-2</v>
      </c>
      <c r="D338" s="96">
        <v>1802.06</v>
      </c>
      <c r="E338" s="95">
        <v>-1.8200000000000001E-2</v>
      </c>
    </row>
    <row r="339" spans="1:5" x14ac:dyDescent="0.25">
      <c r="A339" s="93">
        <v>45830</v>
      </c>
      <c r="B339" s="94">
        <v>18.88</v>
      </c>
      <c r="C339" s="95">
        <v>7.8899999999999998E-2</v>
      </c>
      <c r="D339" s="96">
        <v>1877.03</v>
      </c>
      <c r="E339" s="95">
        <v>4.1599999999999998E-2</v>
      </c>
    </row>
    <row r="340" spans="1:5" x14ac:dyDescent="0.25">
      <c r="A340" s="93">
        <v>45837</v>
      </c>
      <c r="B340" s="94">
        <v>18.8</v>
      </c>
      <c r="C340" s="95">
        <v>-4.1999999999999997E-3</v>
      </c>
      <c r="D340" s="96">
        <v>1918.09</v>
      </c>
      <c r="E340" s="95">
        <v>2.1899999999999999E-2</v>
      </c>
    </row>
    <row r="341" spans="1:5" x14ac:dyDescent="0.25">
      <c r="A341" s="93">
        <v>45844</v>
      </c>
      <c r="B341" s="94">
        <v>18.5</v>
      </c>
      <c r="C341" s="95">
        <v>-1.6E-2</v>
      </c>
      <c r="D341" s="96">
        <v>1960.17</v>
      </c>
      <c r="E341" s="95">
        <v>2.1899999999999999E-2</v>
      </c>
    </row>
    <row r="342" spans="1:5" x14ac:dyDescent="0.25">
      <c r="A342" s="93">
        <v>45851</v>
      </c>
      <c r="B342" s="94">
        <v>18.3</v>
      </c>
      <c r="C342" s="95">
        <v>-1.0800000000000001E-2</v>
      </c>
      <c r="D342" s="96">
        <v>1985.52</v>
      </c>
      <c r="E342" s="95">
        <v>1.29E-2</v>
      </c>
    </row>
    <row r="343" spans="1:5" x14ac:dyDescent="0.25">
      <c r="A343" s="93">
        <v>45858</v>
      </c>
      <c r="B343" s="94">
        <v>18.8</v>
      </c>
      <c r="C343" s="95">
        <v>2.7300000000000001E-2</v>
      </c>
      <c r="D343" s="96">
        <v>1968.72</v>
      </c>
      <c r="E343" s="95">
        <v>-8.5000000000000006E-3</v>
      </c>
    </row>
    <row r="344" spans="1:5" x14ac:dyDescent="0.25">
      <c r="A344" s="93">
        <v>45865</v>
      </c>
      <c r="B344" s="94">
        <v>18.600000000000001</v>
      </c>
      <c r="C344" s="95">
        <v>-1.06E-2</v>
      </c>
      <c r="D344" s="96">
        <v>1960.06</v>
      </c>
      <c r="E344" s="95">
        <v>-4.4000000000000003E-3</v>
      </c>
    </row>
    <row r="345" spans="1:5" x14ac:dyDescent="0.25">
      <c r="A345" s="93">
        <v>45872</v>
      </c>
      <c r="B345" s="94">
        <v>18.72</v>
      </c>
      <c r="C345" s="95">
        <v>6.4999999999999997E-3</v>
      </c>
      <c r="D345" s="96">
        <v>2070.13</v>
      </c>
      <c r="E345" s="95">
        <v>5.62E-2</v>
      </c>
    </row>
    <row r="346" spans="1:5" x14ac:dyDescent="0.25">
      <c r="A346" s="93">
        <v>45879</v>
      </c>
      <c r="B346" s="94">
        <v>19.54</v>
      </c>
      <c r="C346" s="95">
        <v>4.3799999999999999E-2</v>
      </c>
      <c r="D346" s="96">
        <v>2126.1799999999998</v>
      </c>
      <c r="E346" s="95">
        <v>2.7099999999999999E-2</v>
      </c>
    </row>
    <row r="347" spans="1:5" x14ac:dyDescent="0.25">
      <c r="A347" s="93">
        <v>45886</v>
      </c>
      <c r="B347" s="94">
        <v>20.75</v>
      </c>
      <c r="C347" s="95">
        <v>6.1899999999999997E-2</v>
      </c>
      <c r="D347" s="96">
        <v>2103.9299999999998</v>
      </c>
      <c r="E347" s="95">
        <v>-1.0500000000000001E-2</v>
      </c>
    </row>
    <row r="348" spans="1:5" x14ac:dyDescent="0.25">
      <c r="A348" s="93">
        <v>45893</v>
      </c>
      <c r="B348" s="94">
        <v>19.3</v>
      </c>
      <c r="C348" s="95">
        <v>-6.9900000000000004E-2</v>
      </c>
      <c r="D348" s="96">
        <v>2021.69</v>
      </c>
      <c r="E348" s="95">
        <v>-3.9100000000000003E-2</v>
      </c>
    </row>
    <row r="349" spans="1:5" x14ac:dyDescent="0.25">
      <c r="A349" s="93">
        <v>45900</v>
      </c>
      <c r="B349" s="94">
        <v>19.3</v>
      </c>
      <c r="C349" s="95">
        <v>0</v>
      </c>
      <c r="D349" s="96">
        <v>2023.05</v>
      </c>
      <c r="E349" s="95">
        <v>6.9999999999999999E-4</v>
      </c>
    </row>
    <row r="350" spans="1:5" x14ac:dyDescent="0.25">
      <c r="A350" s="93">
        <v>45907</v>
      </c>
      <c r="B350" s="94">
        <v>18.72</v>
      </c>
      <c r="C350" s="95">
        <v>-3.0099999999999998E-2</v>
      </c>
      <c r="D350" s="96">
        <v>2062.73</v>
      </c>
      <c r="E350" s="95">
        <v>1.9599999999999999E-2</v>
      </c>
    </row>
    <row r="351" spans="1:5" x14ac:dyDescent="0.25">
      <c r="A351" s="93">
        <v>45914</v>
      </c>
      <c r="B351" s="94">
        <v>17.64</v>
      </c>
      <c r="C351" s="95">
        <v>-5.7700000000000001E-2</v>
      </c>
      <c r="D351" s="96">
        <v>2030.46</v>
      </c>
      <c r="E351" s="95">
        <v>-1.5599999999999999E-2</v>
      </c>
    </row>
    <row r="352" spans="1:5" x14ac:dyDescent="0.25">
      <c r="A352" s="93">
        <v>45921</v>
      </c>
      <c r="B352" s="94">
        <v>17.16</v>
      </c>
      <c r="C352" s="95">
        <v>-2.7199999999999998E-2</v>
      </c>
      <c r="D352" s="96">
        <v>2031.81</v>
      </c>
      <c r="E352" s="95">
        <v>6.9999999999999999E-4</v>
      </c>
    </row>
    <row r="353" spans="1:5" x14ac:dyDescent="0.25">
      <c r="A353" s="93">
        <v>45928</v>
      </c>
      <c r="B353" s="94">
        <v>17.46</v>
      </c>
      <c r="C353" s="95">
        <v>1.7500000000000002E-2</v>
      </c>
      <c r="D353" s="96">
        <v>2076.71</v>
      </c>
      <c r="E353" s="95">
        <v>2.2100000000000002E-2</v>
      </c>
    </row>
    <row r="354" spans="1:5" x14ac:dyDescent="0.25">
      <c r="A354" s="93">
        <v>45935</v>
      </c>
      <c r="B354" s="94">
        <v>17.5</v>
      </c>
      <c r="C354" s="95">
        <v>2.3E-3</v>
      </c>
      <c r="D354" s="96">
        <v>2110.14</v>
      </c>
      <c r="E354" s="95">
        <v>1.61E-2</v>
      </c>
    </row>
    <row r="355" spans="1:5" x14ac:dyDescent="0.25">
      <c r="A355" s="93">
        <v>45942</v>
      </c>
      <c r="B355" s="94">
        <v>18.2</v>
      </c>
      <c r="C355" s="95">
        <v>0.04</v>
      </c>
      <c r="D355" s="96">
        <v>1987.52</v>
      </c>
      <c r="E355" s="95">
        <v>-5.8099999999999999E-2</v>
      </c>
    </row>
    <row r="356" spans="1:5" x14ac:dyDescent="0.25">
      <c r="A356" s="93">
        <v>45949</v>
      </c>
      <c r="B356" s="94">
        <v>19.04</v>
      </c>
      <c r="C356" s="95">
        <v>4.6199999999999998E-2</v>
      </c>
      <c r="D356" s="96">
        <v>2011.41</v>
      </c>
      <c r="E356" s="95">
        <v>1.2E-2</v>
      </c>
    </row>
    <row r="357" spans="1:5" x14ac:dyDescent="0.25">
      <c r="A357" s="93">
        <v>45956</v>
      </c>
      <c r="B357" s="94">
        <v>19.7</v>
      </c>
      <c r="C357" s="95">
        <v>3.4700000000000002E-2</v>
      </c>
      <c r="D357" s="96">
        <v>1995.2</v>
      </c>
      <c r="E357" s="95">
        <v>-8.0999999999999996E-3</v>
      </c>
    </row>
    <row r="358" spans="1:5" x14ac:dyDescent="0.25">
      <c r="A358" s="93">
        <v>45963</v>
      </c>
      <c r="B358" s="94">
        <v>18.82</v>
      </c>
      <c r="C358" s="95">
        <v>-4.4699999999999997E-2</v>
      </c>
      <c r="D358" s="96">
        <v>1986.89</v>
      </c>
      <c r="E358" s="95">
        <v>-4.1999999999999997E-3</v>
      </c>
    </row>
    <row r="359" spans="1:5" x14ac:dyDescent="0.25">
      <c r="A359" s="93">
        <v>45970</v>
      </c>
      <c r="B359" s="94">
        <v>19.78</v>
      </c>
      <c r="C359" s="95">
        <v>5.0999999999999997E-2</v>
      </c>
      <c r="D359" s="96">
        <v>2059.39</v>
      </c>
      <c r="E359" s="95">
        <v>3.6499999999999998E-2</v>
      </c>
    </row>
    <row r="360" spans="1:5" x14ac:dyDescent="0.25">
      <c r="A360" s="93">
        <v>45977</v>
      </c>
      <c r="B360" s="94">
        <v>18.760000000000002</v>
      </c>
      <c r="C360" s="95">
        <v>-5.16E-2</v>
      </c>
      <c r="D360" s="96">
        <v>2061.69</v>
      </c>
      <c r="E360" s="95">
        <v>1.1000000000000001E-3</v>
      </c>
    </row>
    <row r="361" spans="1:5" x14ac:dyDescent="0.25">
      <c r="A361" s="93">
        <v>45984</v>
      </c>
      <c r="B361" s="94">
        <v>19.02</v>
      </c>
      <c r="C361" s="95">
        <v>1.3899999999999999E-2</v>
      </c>
      <c r="D361" s="96">
        <v>2083.15</v>
      </c>
      <c r="E361" s="95">
        <v>1.04E-2</v>
      </c>
    </row>
    <row r="362" spans="1:5" x14ac:dyDescent="0.25">
      <c r="A362" s="93">
        <v>45991</v>
      </c>
      <c r="B362" s="94">
        <v>19.3</v>
      </c>
      <c r="C362" s="95">
        <v>1.47E-2</v>
      </c>
      <c r="D362" s="96">
        <v>2104.7399999999998</v>
      </c>
      <c r="E362" s="95">
        <v>1.04E-2</v>
      </c>
    </row>
    <row r="363" spans="1:5" x14ac:dyDescent="0.25">
      <c r="A363" s="93">
        <v>45998</v>
      </c>
      <c r="B363" s="94">
        <v>19.7</v>
      </c>
      <c r="C363" s="95">
        <v>2.07E-2</v>
      </c>
      <c r="D363" s="96">
        <v>2104.21</v>
      </c>
      <c r="E363" s="95">
        <v>-2.9999999999999997E-4</v>
      </c>
    </row>
    <row r="364" spans="1:5" x14ac:dyDescent="0.25">
      <c r="A364" s="93">
        <v>46005</v>
      </c>
      <c r="B364" s="94">
        <v>19.920000000000002</v>
      </c>
      <c r="C364" s="95">
        <v>1.12E-2</v>
      </c>
      <c r="D364" s="96">
        <v>2112.46</v>
      </c>
      <c r="E364" s="95">
        <v>3.8999999999999998E-3</v>
      </c>
    </row>
    <row r="365" spans="1:5" x14ac:dyDescent="0.25">
      <c r="A365" s="93">
        <v>46012</v>
      </c>
      <c r="B365" s="94">
        <v>20</v>
      </c>
      <c r="C365" s="95">
        <v>4.0000000000000001E-3</v>
      </c>
      <c r="D365" s="96">
        <v>2127.1999999999998</v>
      </c>
      <c r="E365" s="95">
        <v>7.0000000000000001E-3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E7E8-46A5-45D2-BF8F-6CEA6AA50AD0}">
  <dimension ref="A1:I388"/>
  <sheetViews>
    <sheetView zoomScale="80" workbookViewId="0">
      <selection activeCell="H3" sqref="H3"/>
    </sheetView>
  </sheetViews>
  <sheetFormatPr defaultRowHeight="14.4" x14ac:dyDescent="0.25"/>
  <cols>
    <col min="1" max="1" width="18.21875" bestFit="1" customWidth="1"/>
    <col min="2" max="2" width="13.109375" bestFit="1" customWidth="1"/>
    <col min="6" max="6" width="19.21875" bestFit="1" customWidth="1"/>
    <col min="7" max="9" width="12" bestFit="1" customWidth="1"/>
  </cols>
  <sheetData>
    <row r="1" spans="1:9" x14ac:dyDescent="0.25">
      <c r="A1" t="s">
        <v>5</v>
      </c>
    </row>
    <row r="2" spans="1:9" ht="15" thickBot="1" x14ac:dyDescent="0.3"/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0.4502938973440197</v>
      </c>
    </row>
    <row r="5" spans="1:9" ht="15" x14ac:dyDescent="0.3">
      <c r="A5" t="s">
        <v>8</v>
      </c>
      <c r="B5" s="106">
        <v>0.20276459398526653</v>
      </c>
    </row>
    <row r="6" spans="1:9" x14ac:dyDescent="0.25">
      <c r="A6" t="s">
        <v>9</v>
      </c>
      <c r="B6">
        <v>0.20056228623384462</v>
      </c>
    </row>
    <row r="7" spans="1:9" x14ac:dyDescent="0.25">
      <c r="A7" t="s">
        <v>10</v>
      </c>
      <c r="B7">
        <v>3.2287081688622467E-2</v>
      </c>
    </row>
    <row r="8" spans="1:9" ht="15" thickBot="1" x14ac:dyDescent="0.3">
      <c r="A8" s="85" t="s">
        <v>11</v>
      </c>
      <c r="B8" s="85">
        <v>364</v>
      </c>
    </row>
    <row r="10" spans="1:9" ht="15" thickBot="1" x14ac:dyDescent="0.3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ht="15" x14ac:dyDescent="0.3">
      <c r="A12" t="s">
        <v>18</v>
      </c>
      <c r="B12">
        <v>1</v>
      </c>
      <c r="C12">
        <v>9.5978000922125384E-2</v>
      </c>
      <c r="D12">
        <v>9.5978000922125384E-2</v>
      </c>
      <c r="E12">
        <v>92.069146037538118</v>
      </c>
      <c r="F12" s="104">
        <v>1.4170622978806434E-19</v>
      </c>
    </row>
    <row r="13" spans="1:9" x14ac:dyDescent="0.25">
      <c r="A13" t="s">
        <v>19</v>
      </c>
      <c r="B13">
        <v>362</v>
      </c>
      <c r="C13">
        <v>0.3773689431163364</v>
      </c>
      <c r="D13">
        <v>1.04245564396778E-3</v>
      </c>
    </row>
    <row r="14" spans="1:9" ht="15" thickBot="1" x14ac:dyDescent="0.3">
      <c r="A14" s="85" t="s">
        <v>20</v>
      </c>
      <c r="B14" s="85">
        <v>363</v>
      </c>
      <c r="C14" s="85">
        <v>0.47334694403846178</v>
      </c>
      <c r="D14" s="85"/>
      <c r="E14" s="85"/>
      <c r="F14" s="85"/>
    </row>
    <row r="15" spans="1:9" ht="15" thickBot="1" x14ac:dyDescent="0.3"/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3.7837028161396714E-3</v>
      </c>
      <c r="C17">
        <v>1.701333461712423E-3</v>
      </c>
      <c r="D17">
        <v>2.2239630861849422</v>
      </c>
      <c r="E17">
        <v>2.6767350103254487E-2</v>
      </c>
      <c r="F17">
        <v>4.379645306602899E-4</v>
      </c>
      <c r="G17">
        <v>7.1294411016190528E-3</v>
      </c>
      <c r="H17">
        <v>4.379645306602899E-4</v>
      </c>
      <c r="I17">
        <v>7.1294411016190528E-3</v>
      </c>
    </row>
    <row r="18" spans="1:9" ht="15.6" thickBot="1" x14ac:dyDescent="0.35">
      <c r="A18" s="85" t="s">
        <v>29</v>
      </c>
      <c r="B18" s="105">
        <v>0.53856441022210944</v>
      </c>
      <c r="C18" s="85">
        <v>5.6128132578851513E-2</v>
      </c>
      <c r="D18" s="85">
        <v>9.59526685598364</v>
      </c>
      <c r="E18" s="85">
        <v>1.4170622978805724E-19</v>
      </c>
      <c r="F18" s="85">
        <v>0.42818625903209406</v>
      </c>
      <c r="G18" s="85">
        <v>0.64894256141212481</v>
      </c>
      <c r="H18" s="85">
        <v>0.42818625903209406</v>
      </c>
      <c r="I18" s="85">
        <v>0.64894256141212481</v>
      </c>
    </row>
    <row r="22" spans="1:9" x14ac:dyDescent="0.25">
      <c r="A22" t="s">
        <v>30</v>
      </c>
      <c r="F22" t="s">
        <v>136</v>
      </c>
    </row>
    <row r="23" spans="1:9" ht="15" thickBot="1" x14ac:dyDescent="0.3"/>
    <row r="24" spans="1:9" ht="15" x14ac:dyDescent="0.3">
      <c r="A24" s="86" t="s">
        <v>31</v>
      </c>
      <c r="B24" s="86" t="s">
        <v>32</v>
      </c>
      <c r="C24" s="86" t="s">
        <v>33</v>
      </c>
      <c r="D24" s="86" t="s">
        <v>135</v>
      </c>
      <c r="F24" s="86" t="s">
        <v>137</v>
      </c>
      <c r="G24" s="86" t="s">
        <v>138</v>
      </c>
    </row>
    <row r="25" spans="1:9" x14ac:dyDescent="0.25">
      <c r="A25">
        <v>1</v>
      </c>
      <c r="B25">
        <v>5.8302475749836876E-3</v>
      </c>
      <c r="C25">
        <v>-3.1230247574983688E-2</v>
      </c>
      <c r="D25">
        <v>-0.96860266991243515</v>
      </c>
      <c r="F25">
        <v>0.13736263736263737</v>
      </c>
      <c r="G25">
        <v>-0.1439</v>
      </c>
    </row>
    <row r="26" spans="1:9" x14ac:dyDescent="0.25">
      <c r="A26">
        <v>2</v>
      </c>
      <c r="B26">
        <v>9.9771935336939298E-3</v>
      </c>
      <c r="C26">
        <v>1.2322806466306071E-2</v>
      </c>
      <c r="D26">
        <v>0.38219047785068716</v>
      </c>
      <c r="F26">
        <v>0.41208791208791212</v>
      </c>
      <c r="G26">
        <v>-0.1406</v>
      </c>
    </row>
    <row r="27" spans="1:9" x14ac:dyDescent="0.25">
      <c r="A27">
        <v>3</v>
      </c>
      <c r="B27">
        <v>1.2077594733560158E-2</v>
      </c>
      <c r="C27">
        <v>1.7022405266439843E-2</v>
      </c>
      <c r="D27">
        <v>0.52794801417496418</v>
      </c>
      <c r="F27">
        <v>0.68681318681318682</v>
      </c>
      <c r="G27">
        <v>-8.8300000000000003E-2</v>
      </c>
    </row>
    <row r="28" spans="1:9" x14ac:dyDescent="0.25">
      <c r="A28">
        <v>4</v>
      </c>
      <c r="B28">
        <v>-1.7651160710700282E-2</v>
      </c>
      <c r="C28">
        <v>-2.4748839289299718E-2</v>
      </c>
      <c r="D28">
        <v>-0.76758250972213116</v>
      </c>
      <c r="F28">
        <v>0.96153846153846168</v>
      </c>
      <c r="G28">
        <v>-8.6699999999999999E-2</v>
      </c>
    </row>
    <row r="29" spans="1:9" x14ac:dyDescent="0.25">
      <c r="A29">
        <v>5</v>
      </c>
      <c r="B29">
        <v>3.7837028161396714E-3</v>
      </c>
      <c r="C29">
        <v>3.616297183860329E-3</v>
      </c>
      <c r="D29">
        <v>0.11215905666690075</v>
      </c>
      <c r="F29">
        <v>1.2362637362637363</v>
      </c>
      <c r="G29">
        <v>-7.2900000000000006E-2</v>
      </c>
    </row>
    <row r="30" spans="1:9" x14ac:dyDescent="0.25">
      <c r="A30">
        <v>6</v>
      </c>
      <c r="B30">
        <v>1.051575794391604E-2</v>
      </c>
      <c r="C30">
        <v>1.1484242056083959E-2</v>
      </c>
      <c r="D30">
        <v>0.356182495535321</v>
      </c>
      <c r="F30">
        <v>1.5109890109890109</v>
      </c>
      <c r="G30">
        <v>-7.1400000000000005E-2</v>
      </c>
    </row>
    <row r="31" spans="1:9" x14ac:dyDescent="0.25">
      <c r="A31">
        <v>7</v>
      </c>
      <c r="B31">
        <v>-1.3288788987901196E-2</v>
      </c>
      <c r="C31">
        <v>-1.5411211012098804E-2</v>
      </c>
      <c r="D31">
        <v>-0.47797700280993116</v>
      </c>
      <c r="F31">
        <v>1.7857142857142858</v>
      </c>
      <c r="G31">
        <v>-6.9900000000000004E-2</v>
      </c>
    </row>
    <row r="32" spans="1:9" x14ac:dyDescent="0.25">
      <c r="A32">
        <v>8</v>
      </c>
      <c r="B32">
        <v>-0.1003746541208163</v>
      </c>
      <c r="C32">
        <v>-4.3525345879183705E-2</v>
      </c>
      <c r="D32">
        <v>-1.3499337821839719</v>
      </c>
      <c r="F32">
        <v>2.0604395604395607</v>
      </c>
      <c r="G32">
        <v>-6.8400000000000002E-2</v>
      </c>
    </row>
    <row r="33" spans="1:7" x14ac:dyDescent="0.25">
      <c r="A33">
        <v>9</v>
      </c>
      <c r="B33">
        <v>-2.2821379048832531E-2</v>
      </c>
      <c r="C33">
        <v>-1.1678620951167472E-2</v>
      </c>
      <c r="D33">
        <v>-0.36221113543964673</v>
      </c>
      <c r="F33">
        <v>2.3351648351648353</v>
      </c>
      <c r="G33">
        <v>-6.8400000000000002E-2</v>
      </c>
    </row>
    <row r="34" spans="1:7" x14ac:dyDescent="0.25">
      <c r="A34">
        <v>10</v>
      </c>
      <c r="B34">
        <v>-0.10064393632592734</v>
      </c>
      <c r="C34">
        <v>-3.9956063674072659E-2</v>
      </c>
      <c r="D34">
        <v>-1.2392328898762581</v>
      </c>
      <c r="F34">
        <v>2.6098901098901099</v>
      </c>
      <c r="G34">
        <v>-6.83E-2</v>
      </c>
    </row>
    <row r="35" spans="1:7" x14ac:dyDescent="0.25">
      <c r="A35">
        <v>11</v>
      </c>
      <c r="B35">
        <v>6.8535199544056957E-3</v>
      </c>
      <c r="C35">
        <v>0.17494648004559429</v>
      </c>
      <c r="D35">
        <v>5.4259457039873853</v>
      </c>
      <c r="F35">
        <v>2.8846153846153846</v>
      </c>
      <c r="G35">
        <v>-6.6699999999999995E-2</v>
      </c>
    </row>
    <row r="36" spans="1:7" x14ac:dyDescent="0.25">
      <c r="A36">
        <v>12</v>
      </c>
      <c r="B36">
        <v>-3.6324314257057174E-4</v>
      </c>
      <c r="C36">
        <v>-4.3636756857429425E-2</v>
      </c>
      <c r="D36">
        <v>-1.3533891813359402</v>
      </c>
      <c r="F36">
        <v>3.1593406593406597</v>
      </c>
      <c r="G36">
        <v>-6.6299999999999998E-2</v>
      </c>
    </row>
    <row r="37" spans="1:7" x14ac:dyDescent="0.25">
      <c r="A37">
        <v>13</v>
      </c>
      <c r="B37">
        <v>-6.1258823319471425E-3</v>
      </c>
      <c r="C37">
        <v>-5.3741176680528573E-3</v>
      </c>
      <c r="D37">
        <v>-0.16667766431250605</v>
      </c>
      <c r="F37">
        <v>3.4340659340659343</v>
      </c>
      <c r="G37">
        <v>-5.7700000000000001E-2</v>
      </c>
    </row>
    <row r="38" spans="1:7" x14ac:dyDescent="0.25">
      <c r="A38">
        <v>14</v>
      </c>
      <c r="B38">
        <v>7.0080981714481336E-2</v>
      </c>
      <c r="C38">
        <v>-2.809817144813348E-4</v>
      </c>
      <c r="D38">
        <v>-8.7146167570314754E-3</v>
      </c>
      <c r="F38">
        <v>3.7087912087912089</v>
      </c>
      <c r="G38">
        <v>-5.5E-2</v>
      </c>
    </row>
    <row r="39" spans="1:7" x14ac:dyDescent="0.25">
      <c r="A39">
        <v>15</v>
      </c>
      <c r="B39">
        <v>3.2989948469397731E-3</v>
      </c>
      <c r="C39">
        <v>7.6010051530602269E-3</v>
      </c>
      <c r="D39">
        <v>0.23574433304107931</v>
      </c>
      <c r="F39">
        <v>3.983516483516484</v>
      </c>
      <c r="G39">
        <v>-5.45E-2</v>
      </c>
    </row>
    <row r="40" spans="1:7" x14ac:dyDescent="0.25">
      <c r="A40">
        <v>16</v>
      </c>
      <c r="B40">
        <v>3.4605641700064058E-3</v>
      </c>
      <c r="C40">
        <v>2.2339435829993592E-2</v>
      </c>
      <c r="D40">
        <v>0.69285512826360018</v>
      </c>
      <c r="F40">
        <v>4.2582417582417591</v>
      </c>
      <c r="G40">
        <v>-5.2200000000000003E-2</v>
      </c>
    </row>
    <row r="41" spans="1:7" x14ac:dyDescent="0.25">
      <c r="A41">
        <v>17</v>
      </c>
      <c r="B41">
        <v>2.3172021584135609E-2</v>
      </c>
      <c r="C41">
        <v>-4.2720215841356088E-3</v>
      </c>
      <c r="D41">
        <v>-0.13249627632256972</v>
      </c>
      <c r="F41">
        <v>4.5329670329670337</v>
      </c>
      <c r="G41">
        <v>-5.16E-2</v>
      </c>
    </row>
    <row r="42" spans="1:7" x14ac:dyDescent="0.25">
      <c r="A42">
        <v>18</v>
      </c>
      <c r="B42">
        <v>-1.6951026977411542E-2</v>
      </c>
      <c r="C42">
        <v>4.1651026977411541E-2</v>
      </c>
      <c r="D42">
        <v>1.2918019890188703</v>
      </c>
      <c r="F42">
        <v>4.8076923076923084</v>
      </c>
      <c r="G42">
        <v>-4.9700000000000001E-2</v>
      </c>
    </row>
    <row r="43" spans="1:7" x14ac:dyDescent="0.25">
      <c r="A43">
        <v>19</v>
      </c>
      <c r="B43">
        <v>-5.8566001268360868E-3</v>
      </c>
      <c r="C43">
        <v>-1.0243399873163913E-2</v>
      </c>
      <c r="D43">
        <v>-0.31769791265039138</v>
      </c>
      <c r="F43">
        <v>5.082417582417583</v>
      </c>
      <c r="G43">
        <v>-4.7600000000000003E-2</v>
      </c>
    </row>
    <row r="44" spans="1:7" x14ac:dyDescent="0.25">
      <c r="A44">
        <v>20</v>
      </c>
      <c r="B44">
        <v>1.8271085451114416E-2</v>
      </c>
      <c r="C44">
        <v>1.4428914548885584E-2</v>
      </c>
      <c r="D44">
        <v>0.44751118678879881</v>
      </c>
      <c r="F44">
        <v>5.3571428571428577</v>
      </c>
      <c r="G44">
        <v>-4.5999999999999999E-2</v>
      </c>
    </row>
    <row r="45" spans="1:7" x14ac:dyDescent="0.25">
      <c r="A45">
        <v>21</v>
      </c>
      <c r="B45">
        <v>4.2129488823953863E-2</v>
      </c>
      <c r="C45">
        <v>1.3170511176046139E-2</v>
      </c>
      <c r="D45">
        <v>0.40848194554335099</v>
      </c>
      <c r="F45">
        <v>5.6318681318681323</v>
      </c>
      <c r="G45">
        <v>-4.5499999999999999E-2</v>
      </c>
    </row>
    <row r="46" spans="1:7" x14ac:dyDescent="0.25">
      <c r="A46">
        <v>22</v>
      </c>
      <c r="B46">
        <v>2.9257799419645451E-2</v>
      </c>
      <c r="C46">
        <v>9.4342200580354557E-2</v>
      </c>
      <c r="D46">
        <v>2.9260129029762787</v>
      </c>
      <c r="F46">
        <v>5.9065934065934078</v>
      </c>
      <c r="G46">
        <v>-4.5499999999999999E-2</v>
      </c>
    </row>
    <row r="47" spans="1:7" x14ac:dyDescent="0.25">
      <c r="A47">
        <v>23</v>
      </c>
      <c r="B47">
        <v>-2.5083349571765397E-2</v>
      </c>
      <c r="C47">
        <v>-6.1616650428234603E-2</v>
      </c>
      <c r="D47">
        <v>-1.9110335892327743</v>
      </c>
      <c r="F47">
        <v>6.1813186813186825</v>
      </c>
      <c r="G47">
        <v>-4.5499999999999999E-2</v>
      </c>
    </row>
    <row r="48" spans="1:7" x14ac:dyDescent="0.25">
      <c r="A48">
        <v>24</v>
      </c>
      <c r="B48">
        <v>2.1717897676535917E-2</v>
      </c>
      <c r="C48">
        <v>-3.6317897676535919E-2</v>
      </c>
      <c r="D48">
        <v>-1.1263955743750678</v>
      </c>
      <c r="F48">
        <v>6.4560439560439571</v>
      </c>
      <c r="G48">
        <v>-4.4699999999999997E-2</v>
      </c>
    </row>
    <row r="49" spans="1:7" x14ac:dyDescent="0.25">
      <c r="A49">
        <v>25</v>
      </c>
      <c r="B49">
        <v>-1.7489591387633653E-2</v>
      </c>
      <c r="C49">
        <v>7.6789591387633652E-2</v>
      </c>
      <c r="D49">
        <v>2.381620672745683</v>
      </c>
      <c r="F49">
        <v>6.7307692307692317</v>
      </c>
      <c r="G49">
        <v>-4.3999999999999997E-2</v>
      </c>
    </row>
    <row r="50" spans="1:7" x14ac:dyDescent="0.25">
      <c r="A50">
        <v>26</v>
      </c>
      <c r="B50">
        <v>1.7732521040892305E-2</v>
      </c>
      <c r="C50">
        <v>-2.3252104089230285E-4</v>
      </c>
      <c r="D50">
        <v>-7.2116143324944711E-3</v>
      </c>
      <c r="F50">
        <v>7.0054945054945064</v>
      </c>
      <c r="G50">
        <v>-4.3299999999999998E-2</v>
      </c>
    </row>
    <row r="51" spans="1:7" x14ac:dyDescent="0.25">
      <c r="A51">
        <v>27</v>
      </c>
      <c r="B51">
        <v>-1.7112596300478178E-2</v>
      </c>
      <c r="C51">
        <v>3.0812596300478178E-2</v>
      </c>
      <c r="D51">
        <v>0.95564926188686394</v>
      </c>
      <c r="F51">
        <v>7.280219780219781</v>
      </c>
      <c r="G51">
        <v>-4.3299999999999998E-2</v>
      </c>
    </row>
    <row r="52" spans="1:7" x14ac:dyDescent="0.25">
      <c r="A52">
        <v>28</v>
      </c>
      <c r="B52">
        <v>1.1000465913115938E-2</v>
      </c>
      <c r="C52">
        <v>-4.2004659131159383E-3</v>
      </c>
      <c r="D52">
        <v>-0.13027698511040053</v>
      </c>
      <c r="F52">
        <v>7.5549450549450556</v>
      </c>
      <c r="G52">
        <v>-4.2799999999999998E-2</v>
      </c>
    </row>
    <row r="53" spans="1:7" x14ac:dyDescent="0.25">
      <c r="A53">
        <v>29</v>
      </c>
      <c r="B53">
        <v>-2.2482185783479543E-3</v>
      </c>
      <c r="C53">
        <v>-1.7951781421652047E-2</v>
      </c>
      <c r="D53">
        <v>-0.55677251270415862</v>
      </c>
      <c r="F53">
        <v>7.8296703296703312</v>
      </c>
      <c r="G53">
        <v>-4.24E-2</v>
      </c>
    </row>
    <row r="54" spans="1:7" x14ac:dyDescent="0.25">
      <c r="A54">
        <v>30</v>
      </c>
      <c r="B54">
        <v>-1.0380541172701808E-2</v>
      </c>
      <c r="C54">
        <v>-3.3194588272981926E-3</v>
      </c>
      <c r="D54">
        <v>-0.10295264791179325</v>
      </c>
      <c r="F54">
        <v>8.1043956043956058</v>
      </c>
      <c r="G54">
        <v>-4.0300000000000002E-2</v>
      </c>
    </row>
    <row r="55" spans="1:7" x14ac:dyDescent="0.25">
      <c r="A55">
        <v>31</v>
      </c>
      <c r="B55">
        <v>1.6870817984536927E-2</v>
      </c>
      <c r="C55">
        <v>7.0229182015463076E-2</v>
      </c>
      <c r="D55">
        <v>2.1781503026070532</v>
      </c>
      <c r="F55">
        <v>8.3791208791208796</v>
      </c>
      <c r="G55">
        <v>-3.9600000000000003E-2</v>
      </c>
    </row>
    <row r="56" spans="1:7" x14ac:dyDescent="0.25">
      <c r="A56">
        <v>32</v>
      </c>
      <c r="B56">
        <v>5.2916831647615778E-3</v>
      </c>
      <c r="C56">
        <v>-5.9791683164761578E-2</v>
      </c>
      <c r="D56">
        <v>-1.8544324316640233</v>
      </c>
      <c r="F56">
        <v>8.6538461538461533</v>
      </c>
      <c r="G56">
        <v>-3.8600000000000002E-2</v>
      </c>
    </row>
    <row r="57" spans="1:7" x14ac:dyDescent="0.25">
      <c r="A57">
        <v>33</v>
      </c>
      <c r="B57">
        <v>2.8681433187620854E-3</v>
      </c>
      <c r="C57">
        <v>-2.8681433187620854E-3</v>
      </c>
      <c r="D57">
        <v>-8.8955147395943096E-2</v>
      </c>
      <c r="F57">
        <v>8.9285714285714288</v>
      </c>
      <c r="G57">
        <v>-3.85E-2</v>
      </c>
    </row>
    <row r="58" spans="1:7" x14ac:dyDescent="0.25">
      <c r="A58">
        <v>34</v>
      </c>
      <c r="B58">
        <v>4.8069751955616795E-3</v>
      </c>
      <c r="C58">
        <v>1.9930248044383201E-3</v>
      </c>
      <c r="D58">
        <v>6.1813443590085726E-2</v>
      </c>
      <c r="F58">
        <v>9.2032967032967044</v>
      </c>
      <c r="G58">
        <v>-3.7600000000000001E-2</v>
      </c>
    </row>
    <row r="59" spans="1:7" x14ac:dyDescent="0.25">
      <c r="A59">
        <v>35</v>
      </c>
      <c r="B59">
        <v>7.8767923338277021E-3</v>
      </c>
      <c r="C59">
        <v>-1.1767923338277019E-3</v>
      </c>
      <c r="D59">
        <v>-3.6498083908596525E-2</v>
      </c>
      <c r="F59">
        <v>9.4780219780219781</v>
      </c>
      <c r="G59">
        <v>-3.73E-2</v>
      </c>
    </row>
    <row r="60" spans="1:7" x14ac:dyDescent="0.25">
      <c r="A60">
        <v>36</v>
      </c>
      <c r="B60">
        <v>1.037024324006913E-3</v>
      </c>
      <c r="C60">
        <v>-3.1137024324006911E-2</v>
      </c>
      <c r="D60">
        <v>-0.96571136110749456</v>
      </c>
      <c r="F60">
        <v>9.7527472527472536</v>
      </c>
      <c r="G60">
        <v>-3.7199999999999997E-2</v>
      </c>
    </row>
    <row r="61" spans="1:7" x14ac:dyDescent="0.25">
      <c r="A61">
        <v>37</v>
      </c>
      <c r="B61">
        <v>2.2848882938002343E-2</v>
      </c>
      <c r="C61">
        <v>2.1951117061997656E-2</v>
      </c>
      <c r="D61">
        <v>0.68081146467896503</v>
      </c>
      <c r="F61">
        <v>10.027472527472527</v>
      </c>
      <c r="G61">
        <v>-3.4500000000000003E-2</v>
      </c>
    </row>
    <row r="62" spans="1:7" x14ac:dyDescent="0.25">
      <c r="A62">
        <v>38</v>
      </c>
      <c r="B62">
        <v>-2.9445721294564478E-2</v>
      </c>
      <c r="C62">
        <v>2.2845721294564476E-2</v>
      </c>
      <c r="D62">
        <v>0.70855751587816496</v>
      </c>
      <c r="F62">
        <v>10.302197802197803</v>
      </c>
      <c r="G62">
        <v>-3.4500000000000003E-2</v>
      </c>
    </row>
    <row r="63" spans="1:7" x14ac:dyDescent="0.25">
      <c r="A63">
        <v>39</v>
      </c>
      <c r="B63">
        <v>1.0569614384938249E-2</v>
      </c>
      <c r="C63">
        <v>1.2730385615061752E-2</v>
      </c>
      <c r="D63">
        <v>0.3948315000115753</v>
      </c>
      <c r="F63">
        <v>10.576923076923077</v>
      </c>
      <c r="G63">
        <v>-3.4299999999999997E-2</v>
      </c>
    </row>
    <row r="64" spans="1:7" x14ac:dyDescent="0.25">
      <c r="A64">
        <v>40</v>
      </c>
      <c r="B64">
        <v>2.5972556517290579E-2</v>
      </c>
      <c r="C64">
        <v>3.892744348270942E-2</v>
      </c>
      <c r="D64">
        <v>1.2073303485567217</v>
      </c>
      <c r="F64">
        <v>10.851648351648352</v>
      </c>
      <c r="G64">
        <v>-3.4099999999999998E-2</v>
      </c>
    </row>
    <row r="65" spans="1:7" x14ac:dyDescent="0.25">
      <c r="A65">
        <v>41</v>
      </c>
      <c r="B65">
        <v>-2.206738887452158E-2</v>
      </c>
      <c r="C65">
        <v>-1.7532611125478423E-2</v>
      </c>
      <c r="D65">
        <v>-0.54377199238977647</v>
      </c>
      <c r="F65">
        <v>11.126373626373626</v>
      </c>
      <c r="G65">
        <v>-3.39E-2</v>
      </c>
    </row>
    <row r="66" spans="1:7" x14ac:dyDescent="0.25">
      <c r="A66">
        <v>42</v>
      </c>
      <c r="B66">
        <v>-3.0560651936811182E-3</v>
      </c>
      <c r="C66">
        <v>9.3560651936811182E-3</v>
      </c>
      <c r="D66">
        <v>0.29017732583501843</v>
      </c>
      <c r="F66">
        <v>11.401098901098901</v>
      </c>
      <c r="G66">
        <v>-3.3000000000000002E-2</v>
      </c>
    </row>
    <row r="67" spans="1:7" x14ac:dyDescent="0.25">
      <c r="A67">
        <v>43</v>
      </c>
      <c r="B67">
        <v>-3.3861949458385783E-2</v>
      </c>
      <c r="C67">
        <v>8.6619494583857828E-3</v>
      </c>
      <c r="D67">
        <v>0.26864940317539004</v>
      </c>
      <c r="F67">
        <v>11.675824175824177</v>
      </c>
      <c r="G67">
        <v>-3.2000000000000001E-2</v>
      </c>
    </row>
    <row r="68" spans="1:7" x14ac:dyDescent="0.25">
      <c r="A68">
        <v>44</v>
      </c>
      <c r="B68">
        <v>2.1394759030402652E-2</v>
      </c>
      <c r="C68">
        <v>-8.4947590304026519E-3</v>
      </c>
      <c r="D68">
        <v>-0.26346401056716806</v>
      </c>
      <c r="F68">
        <v>11.950549450549451</v>
      </c>
      <c r="G68">
        <v>-3.2000000000000001E-2</v>
      </c>
    </row>
    <row r="69" spans="1:7" x14ac:dyDescent="0.25">
      <c r="A69">
        <v>45</v>
      </c>
      <c r="B69">
        <v>6.5664753550660052E-2</v>
      </c>
      <c r="C69">
        <v>-5.9264753550660049E-2</v>
      </c>
      <c r="D69">
        <v>-1.8380897680380228</v>
      </c>
      <c r="F69">
        <v>12.225274725274726</v>
      </c>
      <c r="G69">
        <v>-3.0200000000000001E-2</v>
      </c>
    </row>
    <row r="70" spans="1:7" x14ac:dyDescent="0.25">
      <c r="A70">
        <v>46</v>
      </c>
      <c r="B70">
        <v>3.9759805418976578E-2</v>
      </c>
      <c r="C70">
        <v>-2.0759805418976578E-2</v>
      </c>
      <c r="D70">
        <v>-0.64386306600369159</v>
      </c>
      <c r="F70">
        <v>12.5</v>
      </c>
      <c r="G70">
        <v>-3.0099999999999998E-2</v>
      </c>
    </row>
    <row r="71" spans="1:7" x14ac:dyDescent="0.25">
      <c r="A71">
        <v>47</v>
      </c>
      <c r="B71">
        <v>3.238147299893368E-2</v>
      </c>
      <c r="C71">
        <v>-3.238147299893368E-2</v>
      </c>
      <c r="D71">
        <v>-1.0043077989426081</v>
      </c>
      <c r="F71">
        <v>12.774725274725276</v>
      </c>
      <c r="G71">
        <v>-3.0099999999999998E-2</v>
      </c>
    </row>
    <row r="72" spans="1:7" x14ac:dyDescent="0.25">
      <c r="A72">
        <v>48</v>
      </c>
      <c r="B72">
        <v>3.9113528126710054E-2</v>
      </c>
      <c r="C72">
        <v>-4.2213528126710052E-2</v>
      </c>
      <c r="D72">
        <v>-1.3092478998695991</v>
      </c>
      <c r="F72">
        <v>13.049450549450549</v>
      </c>
      <c r="G72">
        <v>-2.87E-2</v>
      </c>
    </row>
    <row r="73" spans="1:7" x14ac:dyDescent="0.25">
      <c r="A73">
        <v>49</v>
      </c>
      <c r="B73">
        <v>-2.5553026052614961E-4</v>
      </c>
      <c r="C73">
        <v>2.5553026052614961E-4</v>
      </c>
      <c r="D73">
        <v>7.9252427312586846E-3</v>
      </c>
      <c r="F73">
        <v>13.324175824175825</v>
      </c>
      <c r="G73">
        <v>-2.8400000000000002E-2</v>
      </c>
    </row>
    <row r="74" spans="1:7" x14ac:dyDescent="0.25">
      <c r="A74">
        <v>50</v>
      </c>
      <c r="B74">
        <v>1.8324941892136626E-2</v>
      </c>
      <c r="C74">
        <v>2.2275058107863371E-2</v>
      </c>
      <c r="D74">
        <v>0.69085846034130793</v>
      </c>
      <c r="F74">
        <v>13.5989010989011</v>
      </c>
      <c r="G74">
        <v>-2.8299999999999999E-2</v>
      </c>
    </row>
    <row r="75" spans="1:7" x14ac:dyDescent="0.25">
      <c r="A75">
        <v>51</v>
      </c>
      <c r="B75">
        <v>-4.6717584243474459E-3</v>
      </c>
      <c r="C75">
        <v>-2.8328241575652557E-2</v>
      </c>
      <c r="D75">
        <v>-0.87859727522880027</v>
      </c>
      <c r="F75">
        <v>13.873626373626374</v>
      </c>
      <c r="G75">
        <v>-2.7199999999999998E-2</v>
      </c>
    </row>
    <row r="76" spans="1:7" x14ac:dyDescent="0.25">
      <c r="A76">
        <v>52</v>
      </c>
      <c r="B76">
        <v>1.8486511215203262E-2</v>
      </c>
      <c r="C76">
        <v>-2.9865112152032622E-3</v>
      </c>
      <c r="D76">
        <v>-9.2626314595292539E-2</v>
      </c>
      <c r="F76">
        <v>14.14835164835165</v>
      </c>
      <c r="G76">
        <v>-2.6800000000000001E-2</v>
      </c>
    </row>
    <row r="77" spans="1:7" x14ac:dyDescent="0.25">
      <c r="A77">
        <v>53</v>
      </c>
      <c r="B77">
        <v>1.0623470825960461E-2</v>
      </c>
      <c r="C77">
        <v>-1.4234708259604611E-3</v>
      </c>
      <c r="D77">
        <v>-4.414879002343234E-2</v>
      </c>
      <c r="F77">
        <v>14.423076923076923</v>
      </c>
      <c r="G77">
        <v>-2.5999999999999999E-2</v>
      </c>
    </row>
    <row r="78" spans="1:7" x14ac:dyDescent="0.25">
      <c r="A78">
        <v>54</v>
      </c>
      <c r="B78">
        <v>-1.5389190187767425E-2</v>
      </c>
      <c r="C78">
        <v>1.5389190187767425E-2</v>
      </c>
      <c r="D78">
        <v>0.47729402938201215</v>
      </c>
      <c r="F78">
        <v>14.697802197802199</v>
      </c>
      <c r="G78">
        <v>-2.5999999999999999E-2</v>
      </c>
    </row>
    <row r="79" spans="1:7" x14ac:dyDescent="0.25">
      <c r="A79">
        <v>55</v>
      </c>
      <c r="B79">
        <v>-3.8100553679920714E-3</v>
      </c>
      <c r="C79">
        <v>6.8100553679920715E-3</v>
      </c>
      <c r="D79">
        <v>0.21121311305173274</v>
      </c>
      <c r="F79">
        <v>14.972527472527473</v>
      </c>
      <c r="G79">
        <v>-2.5399999999999999E-2</v>
      </c>
    </row>
    <row r="80" spans="1:7" x14ac:dyDescent="0.25">
      <c r="A80">
        <v>56</v>
      </c>
      <c r="B80">
        <v>-1.6627888331278276E-2</v>
      </c>
      <c r="C80">
        <v>2.2627888331278274E-2</v>
      </c>
      <c r="D80">
        <v>0.70180145064597754</v>
      </c>
      <c r="F80">
        <v>15.247252747252748</v>
      </c>
      <c r="G80">
        <v>-2.52E-2</v>
      </c>
    </row>
    <row r="81" spans="1:7" x14ac:dyDescent="0.25">
      <c r="A81">
        <v>57</v>
      </c>
      <c r="B81">
        <v>1.4662703902626282E-2</v>
      </c>
      <c r="C81">
        <v>2.7337296097373721E-2</v>
      </c>
      <c r="D81">
        <v>0.8478632109632519</v>
      </c>
      <c r="F81">
        <v>15.521978021978024</v>
      </c>
      <c r="G81">
        <v>-2.52E-2</v>
      </c>
    </row>
    <row r="82" spans="1:7" x14ac:dyDescent="0.25">
      <c r="A82">
        <v>58</v>
      </c>
      <c r="B82">
        <v>1.1862168969471313E-2</v>
      </c>
      <c r="C82">
        <v>1.1237831030528686E-2</v>
      </c>
      <c r="D82">
        <v>0.34854008486676502</v>
      </c>
      <c r="F82">
        <v>15.796703296703297</v>
      </c>
      <c r="G82">
        <v>-2.5100000000000001E-2</v>
      </c>
    </row>
    <row r="83" spans="1:7" x14ac:dyDescent="0.25">
      <c r="A83">
        <v>59</v>
      </c>
      <c r="B83">
        <v>7.4997972466722268E-3</v>
      </c>
      <c r="C83">
        <v>-2.1599797246672228E-2</v>
      </c>
      <c r="D83">
        <v>-0.66991531951391881</v>
      </c>
      <c r="F83">
        <v>16.071428571428573</v>
      </c>
      <c r="G83">
        <v>-2.5100000000000001E-2</v>
      </c>
    </row>
    <row r="84" spans="1:7" x14ac:dyDescent="0.25">
      <c r="A84">
        <v>60</v>
      </c>
      <c r="B84">
        <v>1.1323604559249204E-2</v>
      </c>
      <c r="C84">
        <v>2.8676395440750797E-2</v>
      </c>
      <c r="D84">
        <v>0.88939522879816657</v>
      </c>
      <c r="F84">
        <v>16.34615384615385</v>
      </c>
      <c r="G84">
        <v>-2.4199999999999999E-2</v>
      </c>
    </row>
    <row r="85" spans="1:7" x14ac:dyDescent="0.25">
      <c r="A85">
        <v>61</v>
      </c>
      <c r="B85">
        <v>2.5972556517290579E-2</v>
      </c>
      <c r="C85">
        <v>-2.867255651729058E-2</v>
      </c>
      <c r="D85">
        <v>-0.88927616501219342</v>
      </c>
      <c r="F85">
        <v>16.620879120879124</v>
      </c>
      <c r="G85">
        <v>-2.41E-2</v>
      </c>
    </row>
    <row r="86" spans="1:7" x14ac:dyDescent="0.25">
      <c r="A86">
        <v>62</v>
      </c>
      <c r="B86">
        <v>1.9940635122802954E-2</v>
      </c>
      <c r="C86">
        <v>-1.9940635122802954E-2</v>
      </c>
      <c r="D86">
        <v>-0.61845658998771824</v>
      </c>
      <c r="F86">
        <v>16.895604395604398</v>
      </c>
      <c r="G86">
        <v>-2.3099999999999999E-2</v>
      </c>
    </row>
    <row r="87" spans="1:7" x14ac:dyDescent="0.25">
      <c r="A87">
        <v>63</v>
      </c>
      <c r="B87">
        <v>-6.8260160652358834E-3</v>
      </c>
      <c r="C87">
        <v>2.6126016065235885E-2</v>
      </c>
      <c r="D87">
        <v>0.81029549491094188</v>
      </c>
      <c r="F87">
        <v>17.170329670329672</v>
      </c>
      <c r="G87">
        <v>-2.2800000000000001E-2</v>
      </c>
    </row>
    <row r="88" spans="1:7" x14ac:dyDescent="0.25">
      <c r="A88">
        <v>64</v>
      </c>
      <c r="B88">
        <v>1.5901402046137131E-2</v>
      </c>
      <c r="C88">
        <v>-7.8014020461371313E-3</v>
      </c>
      <c r="D88">
        <v>-0.24195962048670075</v>
      </c>
      <c r="F88">
        <v>17.445054945054949</v>
      </c>
      <c r="G88">
        <v>-2.2800000000000001E-2</v>
      </c>
    </row>
    <row r="89" spans="1:7" x14ac:dyDescent="0.25">
      <c r="A89">
        <v>65</v>
      </c>
      <c r="B89">
        <v>1.8594224097247682E-2</v>
      </c>
      <c r="C89">
        <v>1.3605775902752318E-2</v>
      </c>
      <c r="D89">
        <v>0.42198163283830614</v>
      </c>
      <c r="F89">
        <v>17.719780219780223</v>
      </c>
      <c r="G89">
        <v>-2.23E-2</v>
      </c>
    </row>
    <row r="90" spans="1:7" x14ac:dyDescent="0.25">
      <c r="A90">
        <v>66</v>
      </c>
      <c r="B90">
        <v>1.390871372831533E-2</v>
      </c>
      <c r="C90">
        <v>-6.1087137283153299E-3</v>
      </c>
      <c r="D90">
        <v>-0.1894610797679552</v>
      </c>
      <c r="F90">
        <v>17.994505494505496</v>
      </c>
      <c r="G90">
        <v>-2.23E-2</v>
      </c>
    </row>
    <row r="91" spans="1:7" x14ac:dyDescent="0.25">
      <c r="A91">
        <v>67</v>
      </c>
      <c r="B91">
        <v>7.9845052158721251E-3</v>
      </c>
      <c r="C91">
        <v>-2.8584505215872125E-2</v>
      </c>
      <c r="D91">
        <v>-0.8865452636500315</v>
      </c>
      <c r="F91">
        <v>18.269230769230774</v>
      </c>
      <c r="G91">
        <v>-2.1499999999999998E-2</v>
      </c>
    </row>
    <row r="92" spans="1:7" x14ac:dyDescent="0.25">
      <c r="A92">
        <v>68</v>
      </c>
      <c r="B92">
        <v>4.3761236673839918E-3</v>
      </c>
      <c r="C92">
        <v>-1.7576123667383991E-2</v>
      </c>
      <c r="D92">
        <v>-0.54512152905813671</v>
      </c>
      <c r="F92">
        <v>18.543956043956047</v>
      </c>
      <c r="G92">
        <v>-2.06E-2</v>
      </c>
    </row>
    <row r="93" spans="1:7" x14ac:dyDescent="0.25">
      <c r="A93">
        <v>69</v>
      </c>
      <c r="B93">
        <v>1.0246475738804984E-2</v>
      </c>
      <c r="C93">
        <v>1.9053524261195016E-2</v>
      </c>
      <c r="D93">
        <v>0.59094294485894705</v>
      </c>
      <c r="F93">
        <v>18.818681318681321</v>
      </c>
      <c r="G93">
        <v>-2.0199999999999999E-2</v>
      </c>
    </row>
    <row r="94" spans="1:7" x14ac:dyDescent="0.25">
      <c r="A94">
        <v>70</v>
      </c>
      <c r="B94">
        <v>-4.1331940141253378E-3</v>
      </c>
      <c r="C94">
        <v>-1.1366805985874662E-2</v>
      </c>
      <c r="D94">
        <v>-0.35254022882335723</v>
      </c>
      <c r="F94">
        <v>19.093406593406595</v>
      </c>
      <c r="G94">
        <v>-1.9599999999999999E-2</v>
      </c>
    </row>
    <row r="95" spans="1:7" x14ac:dyDescent="0.25">
      <c r="A95">
        <v>71</v>
      </c>
      <c r="B95">
        <v>9.8156242106272971E-3</v>
      </c>
      <c r="C95">
        <v>-2.8215624210627295E-2</v>
      </c>
      <c r="D95">
        <v>-0.87510446012446697</v>
      </c>
      <c r="F95">
        <v>19.368131868131872</v>
      </c>
      <c r="G95">
        <v>-1.9E-2</v>
      </c>
    </row>
    <row r="96" spans="1:7" x14ac:dyDescent="0.25">
      <c r="A96">
        <v>72</v>
      </c>
      <c r="B96">
        <v>-1.9697705469544302E-2</v>
      </c>
      <c r="C96">
        <v>1.6997705469544301E-2</v>
      </c>
      <c r="D96">
        <v>0.52718195270965318</v>
      </c>
      <c r="F96">
        <v>19.642857142857146</v>
      </c>
      <c r="G96">
        <v>-1.84E-2</v>
      </c>
    </row>
    <row r="97" spans="1:7" x14ac:dyDescent="0.25">
      <c r="A97">
        <v>73</v>
      </c>
      <c r="B97">
        <v>1.6224540692270396E-2</v>
      </c>
      <c r="C97">
        <v>1.0675459307729604E-2</v>
      </c>
      <c r="D97">
        <v>0.3310981881645827</v>
      </c>
      <c r="F97">
        <v>19.91758241758242</v>
      </c>
      <c r="G97">
        <v>-1.8200000000000001E-2</v>
      </c>
    </row>
    <row r="98" spans="1:7" x14ac:dyDescent="0.25">
      <c r="A98">
        <v>74</v>
      </c>
      <c r="B98">
        <v>1.2293020497649002E-2</v>
      </c>
      <c r="C98">
        <v>8.0697950235099868E-4</v>
      </c>
      <c r="D98">
        <v>2.5028379895646529E-2</v>
      </c>
      <c r="F98">
        <v>20.192307692307697</v>
      </c>
      <c r="G98">
        <v>-1.6799999999999999E-2</v>
      </c>
    </row>
    <row r="99" spans="1:7" x14ac:dyDescent="0.25">
      <c r="A99">
        <v>75</v>
      </c>
      <c r="B99">
        <v>1.8271085451114416E-2</v>
      </c>
      <c r="C99">
        <v>2.4289145488855836E-3</v>
      </c>
      <c r="D99">
        <v>7.5332515741062395E-2</v>
      </c>
      <c r="F99">
        <v>20.467032967032971</v>
      </c>
      <c r="G99">
        <v>-1.67E-2</v>
      </c>
    </row>
    <row r="100" spans="1:7" x14ac:dyDescent="0.25">
      <c r="A100">
        <v>76</v>
      </c>
      <c r="B100">
        <v>-8.0108577677245243E-3</v>
      </c>
      <c r="C100">
        <v>2.5710857767724526E-2</v>
      </c>
      <c r="D100">
        <v>0.79741940629075703</v>
      </c>
      <c r="F100">
        <v>20.741758241758244</v>
      </c>
      <c r="G100">
        <v>-1.67E-2</v>
      </c>
    </row>
    <row r="101" spans="1:7" x14ac:dyDescent="0.25">
      <c r="A101">
        <v>77</v>
      </c>
      <c r="B101">
        <v>5.0762574006727335E-3</v>
      </c>
      <c r="C101">
        <v>5.2123742599327269E-2</v>
      </c>
      <c r="D101">
        <v>1.6166121042209924</v>
      </c>
      <c r="F101">
        <v>21.016483516483518</v>
      </c>
      <c r="G101">
        <v>-1.67E-2</v>
      </c>
    </row>
    <row r="102" spans="1:7" x14ac:dyDescent="0.25">
      <c r="A102">
        <v>78</v>
      </c>
      <c r="B102">
        <v>-8.7109915010132669E-3</v>
      </c>
      <c r="C102">
        <v>4.4010991501013265E-2</v>
      </c>
      <c r="D102">
        <v>1.364996027361695</v>
      </c>
      <c r="F102">
        <v>21.291208791208796</v>
      </c>
      <c r="G102">
        <v>-1.61E-2</v>
      </c>
    </row>
    <row r="103" spans="1:7" x14ac:dyDescent="0.25">
      <c r="A103">
        <v>79</v>
      </c>
      <c r="B103">
        <v>-3.7561989269698608E-3</v>
      </c>
      <c r="C103">
        <v>-1.444380107303014E-2</v>
      </c>
      <c r="D103">
        <v>-0.44797289068651891</v>
      </c>
      <c r="F103">
        <v>21.565934065934069</v>
      </c>
      <c r="G103">
        <v>-1.61E-2</v>
      </c>
    </row>
    <row r="104" spans="1:7" x14ac:dyDescent="0.25">
      <c r="A104">
        <v>80</v>
      </c>
      <c r="B104">
        <v>-7.9409467074825942E-4</v>
      </c>
      <c r="C104">
        <v>-3.8059053292517405E-3</v>
      </c>
      <c r="D104">
        <v>-0.11803973229786754</v>
      </c>
      <c r="F104">
        <v>21.840659340659343</v>
      </c>
      <c r="G104">
        <v>-1.61E-2</v>
      </c>
    </row>
    <row r="105" spans="1:7" x14ac:dyDescent="0.25">
      <c r="A105">
        <v>81</v>
      </c>
      <c r="B105">
        <v>2.3295789085399756E-3</v>
      </c>
      <c r="C105">
        <v>4.6704210914600246E-3</v>
      </c>
      <c r="D105">
        <v>0.14485259292107588</v>
      </c>
      <c r="F105">
        <v>22.115384615384617</v>
      </c>
      <c r="G105">
        <v>-1.6E-2</v>
      </c>
    </row>
    <row r="106" spans="1:7" x14ac:dyDescent="0.25">
      <c r="A106">
        <v>82</v>
      </c>
      <c r="B106">
        <v>1.8648080538269891E-2</v>
      </c>
      <c r="C106">
        <v>-2.4480805382698922E-3</v>
      </c>
      <c r="D106">
        <v>-7.5926946779259638E-2</v>
      </c>
      <c r="F106">
        <v>22.390109890109894</v>
      </c>
      <c r="G106">
        <v>-1.6E-2</v>
      </c>
    </row>
    <row r="107" spans="1:7" x14ac:dyDescent="0.25">
      <c r="A107">
        <v>83</v>
      </c>
      <c r="B107">
        <v>6.961232836450117E-3</v>
      </c>
      <c r="C107">
        <v>-1.3761232836450116E-2</v>
      </c>
      <c r="D107">
        <v>-0.42680311242070634</v>
      </c>
      <c r="F107">
        <v>22.664835164835168</v>
      </c>
      <c r="G107">
        <v>-1.5699999999999999E-2</v>
      </c>
    </row>
    <row r="108" spans="1:7" x14ac:dyDescent="0.25">
      <c r="A108">
        <v>84</v>
      </c>
      <c r="B108">
        <v>4.8608316365838901E-3</v>
      </c>
      <c r="C108">
        <v>-3.916083163658389E-2</v>
      </c>
      <c r="D108">
        <v>-1.2145688563023287</v>
      </c>
      <c r="F108">
        <v>22.939560439560442</v>
      </c>
      <c r="G108">
        <v>-1.55E-2</v>
      </c>
    </row>
    <row r="109" spans="1:7" x14ac:dyDescent="0.25">
      <c r="A109">
        <v>85</v>
      </c>
      <c r="B109">
        <v>-3.5407731628810165E-3</v>
      </c>
      <c r="C109">
        <v>1.0640773162881017E-2</v>
      </c>
      <c r="D109">
        <v>0.33002240122345633</v>
      </c>
      <c r="F109">
        <v>23.214285714285719</v>
      </c>
      <c r="G109">
        <v>-1.4999999999999999E-2</v>
      </c>
    </row>
    <row r="110" spans="1:7" x14ac:dyDescent="0.25">
      <c r="A110">
        <v>86</v>
      </c>
      <c r="B110">
        <v>2.2848882938002343E-2</v>
      </c>
      <c r="C110">
        <v>-2.2848882938002343E-2</v>
      </c>
      <c r="D110">
        <v>-0.70865557389925093</v>
      </c>
      <c r="F110">
        <v>23.489010989010993</v>
      </c>
      <c r="G110">
        <v>-1.46E-2</v>
      </c>
    </row>
    <row r="111" spans="1:7" x14ac:dyDescent="0.25">
      <c r="A111">
        <v>87</v>
      </c>
      <c r="B111">
        <v>4.1606979032951484E-3</v>
      </c>
      <c r="C111">
        <v>-1.7606979032951486E-3</v>
      </c>
      <c r="D111">
        <v>-5.4607850480410364E-2</v>
      </c>
      <c r="F111">
        <v>23.763736263736266</v>
      </c>
      <c r="G111">
        <v>-1.4500000000000001E-2</v>
      </c>
    </row>
    <row r="112" spans="1:7" x14ac:dyDescent="0.25">
      <c r="A112">
        <v>88</v>
      </c>
      <c r="B112">
        <v>-4.4024762192363918E-3</v>
      </c>
      <c r="C112">
        <v>-3.3197523780763613E-2</v>
      </c>
      <c r="D112">
        <v>-1.0296175235666856</v>
      </c>
      <c r="F112">
        <v>24.03846153846154</v>
      </c>
      <c r="G112">
        <v>-1.44E-2</v>
      </c>
    </row>
    <row r="113" spans="1:7" x14ac:dyDescent="0.25">
      <c r="A113">
        <v>89</v>
      </c>
      <c r="B113">
        <v>1.0785040149027094E-2</v>
      </c>
      <c r="C113">
        <v>1.1214959850972905E-2</v>
      </c>
      <c r="D113">
        <v>0.34783073776573464</v>
      </c>
      <c r="F113">
        <v>24.313186813186817</v>
      </c>
      <c r="G113">
        <v>-1.41E-2</v>
      </c>
    </row>
    <row r="114" spans="1:7" x14ac:dyDescent="0.25">
      <c r="A114">
        <v>90</v>
      </c>
      <c r="B114">
        <v>-1.9643849028522085E-2</v>
      </c>
      <c r="C114">
        <v>-6.8656150971477925E-2</v>
      </c>
      <c r="D114">
        <v>-2.1293629189847842</v>
      </c>
      <c r="F114">
        <v>24.587912087912091</v>
      </c>
      <c r="G114">
        <v>-1.37E-2</v>
      </c>
    </row>
    <row r="115" spans="1:7" x14ac:dyDescent="0.25">
      <c r="A115">
        <v>91</v>
      </c>
      <c r="B115">
        <v>2.5450046726288198E-3</v>
      </c>
      <c r="C115">
        <v>-1.304500467262882E-2</v>
      </c>
      <c r="D115">
        <v>-0.40458937523920879</v>
      </c>
      <c r="F115">
        <v>24.862637362637365</v>
      </c>
      <c r="G115">
        <v>-1.35E-2</v>
      </c>
    </row>
    <row r="116" spans="1:7" x14ac:dyDescent="0.25">
      <c r="A116">
        <v>92</v>
      </c>
      <c r="B116">
        <v>1.7086243748625773E-2</v>
      </c>
      <c r="C116">
        <v>1.4137562513742256E-3</v>
      </c>
      <c r="D116">
        <v>4.3847493568490742E-2</v>
      </c>
      <c r="F116">
        <v>25.137362637362642</v>
      </c>
      <c r="G116">
        <v>-1.35E-2</v>
      </c>
    </row>
    <row r="117" spans="1:7" x14ac:dyDescent="0.25">
      <c r="A117">
        <v>93</v>
      </c>
      <c r="B117">
        <v>5.0762574006727335E-3</v>
      </c>
      <c r="C117">
        <v>2.8723742599327265E-2</v>
      </c>
      <c r="D117">
        <v>0.89086369567790624</v>
      </c>
      <c r="F117">
        <v>25.412087912087916</v>
      </c>
      <c r="G117">
        <v>-1.3299999999999999E-2</v>
      </c>
    </row>
    <row r="118" spans="1:7" x14ac:dyDescent="0.25">
      <c r="A118">
        <v>94</v>
      </c>
      <c r="B118">
        <v>9.9771935336939298E-3</v>
      </c>
      <c r="C118">
        <v>3.272280646630607E-2</v>
      </c>
      <c r="D118">
        <v>1.014894218631839</v>
      </c>
      <c r="F118">
        <v>25.68681318681319</v>
      </c>
      <c r="G118">
        <v>-1.3299999999999999E-2</v>
      </c>
    </row>
    <row r="119" spans="1:7" x14ac:dyDescent="0.25">
      <c r="A119">
        <v>95</v>
      </c>
      <c r="B119">
        <v>-3.6324314257057174E-4</v>
      </c>
      <c r="C119">
        <v>-3.823675685742943E-2</v>
      </c>
      <c r="D119">
        <v>-1.1859087793644589</v>
      </c>
      <c r="F119">
        <v>25.961538461538463</v>
      </c>
      <c r="G119">
        <v>-1.32E-2</v>
      </c>
    </row>
    <row r="120" spans="1:7" x14ac:dyDescent="0.25">
      <c r="A120">
        <v>96</v>
      </c>
      <c r="B120">
        <v>9.0616340363163447E-3</v>
      </c>
      <c r="C120">
        <v>-1.1561634036316345E-2</v>
      </c>
      <c r="D120">
        <v>-0.35858279923137448</v>
      </c>
      <c r="F120">
        <v>26.236263736263741</v>
      </c>
      <c r="G120">
        <v>-1.32E-2</v>
      </c>
    </row>
    <row r="121" spans="1:7" x14ac:dyDescent="0.25">
      <c r="A121">
        <v>97</v>
      </c>
      <c r="B121">
        <v>7.9845052158721251E-3</v>
      </c>
      <c r="C121">
        <v>3.2215494784127871E-2</v>
      </c>
      <c r="D121">
        <v>0.99916000299183294</v>
      </c>
      <c r="F121">
        <v>26.510989010989015</v>
      </c>
      <c r="G121">
        <v>-1.29E-2</v>
      </c>
    </row>
    <row r="122" spans="1:7" x14ac:dyDescent="0.25">
      <c r="A122">
        <v>98</v>
      </c>
      <c r="B122">
        <v>4.4299801084062024E-3</v>
      </c>
      <c r="C122">
        <v>-6.8299801084062018E-3</v>
      </c>
      <c r="D122">
        <v>-0.21183107666909123</v>
      </c>
      <c r="F122">
        <v>26.785714285714288</v>
      </c>
      <c r="G122">
        <v>-1.24E-2</v>
      </c>
    </row>
    <row r="123" spans="1:7" x14ac:dyDescent="0.25">
      <c r="A123">
        <v>99</v>
      </c>
      <c r="B123">
        <v>-2.9230295530475639E-2</v>
      </c>
      <c r="C123">
        <v>5.0302955304756397E-3</v>
      </c>
      <c r="D123">
        <v>0.15601405879248265</v>
      </c>
      <c r="F123">
        <v>27.060439560439566</v>
      </c>
      <c r="G123">
        <v>-1.15E-2</v>
      </c>
    </row>
    <row r="124" spans="1:7" x14ac:dyDescent="0.25">
      <c r="A124">
        <v>100</v>
      </c>
      <c r="B124">
        <v>1.6493822897381452E-2</v>
      </c>
      <c r="C124">
        <v>1.3306177102618548E-2</v>
      </c>
      <c r="D124">
        <v>0.41268960923153258</v>
      </c>
      <c r="F124">
        <v>27.335164835164839</v>
      </c>
      <c r="G124">
        <v>-1.11E-2</v>
      </c>
    </row>
    <row r="125" spans="1:7" x14ac:dyDescent="0.25">
      <c r="A125">
        <v>101</v>
      </c>
      <c r="B125">
        <v>1.5685976282048292E-2</v>
      </c>
      <c r="C125">
        <v>-3.9785976282048288E-2</v>
      </c>
      <c r="D125">
        <v>-1.2339576482491244</v>
      </c>
      <c r="F125">
        <v>27.609890109890113</v>
      </c>
      <c r="G125">
        <v>-1.0800000000000001E-2</v>
      </c>
    </row>
    <row r="126" spans="1:7" x14ac:dyDescent="0.25">
      <c r="A126">
        <v>102</v>
      </c>
      <c r="B126">
        <v>-2.8944958706144854E-3</v>
      </c>
      <c r="C126">
        <v>-2.0055041293855144E-3</v>
      </c>
      <c r="D126">
        <v>-6.2200488471287362E-2</v>
      </c>
      <c r="F126">
        <v>27.884615384615387</v>
      </c>
      <c r="G126">
        <v>-1.06E-2</v>
      </c>
    </row>
    <row r="127" spans="1:7" x14ac:dyDescent="0.25">
      <c r="A127">
        <v>103</v>
      </c>
      <c r="B127">
        <v>5.7225346929392655E-3</v>
      </c>
      <c r="C127">
        <v>4.887746530706074E-2</v>
      </c>
      <c r="D127">
        <v>1.5159291735136422</v>
      </c>
      <c r="F127">
        <v>28.159340659340664</v>
      </c>
      <c r="G127">
        <v>-1.06E-2</v>
      </c>
    </row>
    <row r="128" spans="1:7" x14ac:dyDescent="0.25">
      <c r="A128">
        <v>104</v>
      </c>
      <c r="B128">
        <v>5.3455396057837884E-3</v>
      </c>
      <c r="C128">
        <v>-5.3455396057837884E-3</v>
      </c>
      <c r="D128">
        <v>-0.1657913188761376</v>
      </c>
      <c r="F128">
        <v>28.434065934065938</v>
      </c>
      <c r="G128">
        <v>-1.0500000000000001E-2</v>
      </c>
    </row>
    <row r="129" spans="1:7" x14ac:dyDescent="0.25">
      <c r="A129">
        <v>105</v>
      </c>
      <c r="B129">
        <v>1.1700599646404681E-2</v>
      </c>
      <c r="C129">
        <v>-2.1100599646404681E-2</v>
      </c>
      <c r="D129">
        <v>-0.65443276122576921</v>
      </c>
      <c r="F129">
        <v>28.708791208791212</v>
      </c>
      <c r="G129">
        <v>-1.0500000000000001E-2</v>
      </c>
    </row>
    <row r="130" spans="1:7" x14ac:dyDescent="0.25">
      <c r="A130">
        <v>106</v>
      </c>
      <c r="B130">
        <v>2.9257799419645451E-2</v>
      </c>
      <c r="C130">
        <v>-2.4457799419645453E-2</v>
      </c>
      <c r="D130">
        <v>-0.75855594039631191</v>
      </c>
      <c r="F130">
        <v>28.983516483516489</v>
      </c>
      <c r="G130">
        <v>-1.04E-2</v>
      </c>
    </row>
    <row r="131" spans="1:7" x14ac:dyDescent="0.25">
      <c r="A131">
        <v>107</v>
      </c>
      <c r="B131">
        <v>-1.4781737848172747E-4</v>
      </c>
      <c r="C131">
        <v>-2.8252182621518275E-2</v>
      </c>
      <c r="D131">
        <v>-0.87623831518955209</v>
      </c>
      <c r="F131">
        <v>29.258241758241763</v>
      </c>
      <c r="G131">
        <v>-1.0200000000000001E-2</v>
      </c>
    </row>
    <row r="132" spans="1:7" x14ac:dyDescent="0.25">
      <c r="A132">
        <v>108</v>
      </c>
      <c r="B132">
        <v>-6.5028774191026179E-3</v>
      </c>
      <c r="C132">
        <v>1.6202877419102618E-2</v>
      </c>
      <c r="D132">
        <v>0.50253044874924913</v>
      </c>
      <c r="F132">
        <v>29.532967032967036</v>
      </c>
      <c r="G132">
        <v>-9.4000000000000004E-3</v>
      </c>
    </row>
    <row r="133" spans="1:7" x14ac:dyDescent="0.25">
      <c r="A133">
        <v>109</v>
      </c>
      <c r="B133">
        <v>1.5793689164092711E-2</v>
      </c>
      <c r="C133">
        <v>-6.1936891640927121E-3</v>
      </c>
      <c r="D133">
        <v>-0.19209658349789924</v>
      </c>
      <c r="F133">
        <v>29.80769230769231</v>
      </c>
      <c r="G133">
        <v>-9.4000000000000004E-3</v>
      </c>
    </row>
    <row r="134" spans="1:7" x14ac:dyDescent="0.25">
      <c r="A134">
        <v>110</v>
      </c>
      <c r="B134">
        <v>1.8648080538269891E-2</v>
      </c>
      <c r="C134">
        <v>-4.014808053826989E-2</v>
      </c>
      <c r="D134">
        <v>-1.2451882716542315</v>
      </c>
      <c r="F134">
        <v>30.082417582417587</v>
      </c>
      <c r="G134">
        <v>-9.2999999999999992E-3</v>
      </c>
    </row>
    <row r="135" spans="1:7" x14ac:dyDescent="0.25">
      <c r="A135">
        <v>111</v>
      </c>
      <c r="B135">
        <v>-4.6179019833252361E-3</v>
      </c>
      <c r="C135">
        <v>-2.2182098016674763E-2</v>
      </c>
      <c r="D135">
        <v>-0.68797531340805362</v>
      </c>
      <c r="F135">
        <v>30.357142857142861</v>
      </c>
      <c r="G135">
        <v>-9.1999999999999998E-3</v>
      </c>
    </row>
    <row r="136" spans="1:7" x14ac:dyDescent="0.25">
      <c r="A136">
        <v>112</v>
      </c>
      <c r="B136">
        <v>-1.2373229490523613E-2</v>
      </c>
      <c r="C136">
        <v>-3.5226770509476389E-2</v>
      </c>
      <c r="D136">
        <v>-1.0925543861267095</v>
      </c>
      <c r="F136">
        <v>30.631868131868135</v>
      </c>
      <c r="G136">
        <v>-9.1999999999999998E-3</v>
      </c>
    </row>
    <row r="137" spans="1:7" x14ac:dyDescent="0.25">
      <c r="A137">
        <v>113</v>
      </c>
      <c r="B137">
        <v>-5.7504927067136384E-2</v>
      </c>
      <c r="C137">
        <v>4.4304927067136388E-2</v>
      </c>
      <c r="D137">
        <v>1.374112406392809</v>
      </c>
      <c r="F137">
        <v>30.906593406593412</v>
      </c>
      <c r="G137">
        <v>-8.8000000000000005E-3</v>
      </c>
    </row>
    <row r="138" spans="1:7" x14ac:dyDescent="0.25">
      <c r="A138">
        <v>114</v>
      </c>
      <c r="B138">
        <v>7.8767923338277021E-3</v>
      </c>
      <c r="C138">
        <v>-2.3876792333827702E-2</v>
      </c>
      <c r="D138">
        <v>-0.74053606997389787</v>
      </c>
      <c r="F138">
        <v>31.181318681318686</v>
      </c>
      <c r="G138">
        <v>-8.8000000000000005E-3</v>
      </c>
    </row>
    <row r="139" spans="1:7" x14ac:dyDescent="0.25">
      <c r="A139">
        <v>115</v>
      </c>
      <c r="B139">
        <v>2.6511120927512691E-2</v>
      </c>
      <c r="C139">
        <v>-1.2911120927512692E-2</v>
      </c>
      <c r="D139">
        <v>-0.40043698571152431</v>
      </c>
      <c r="F139">
        <v>31.45604395604396</v>
      </c>
      <c r="G139">
        <v>-8.6999999999999994E-3</v>
      </c>
    </row>
    <row r="140" spans="1:7" x14ac:dyDescent="0.25">
      <c r="A140">
        <v>116</v>
      </c>
      <c r="B140">
        <v>-8.5494221779466341E-3</v>
      </c>
      <c r="C140">
        <v>-3.425057782205336E-2</v>
      </c>
      <c r="D140">
        <v>-1.0622778780357411</v>
      </c>
      <c r="F140">
        <v>31.730769230769234</v>
      </c>
      <c r="G140">
        <v>-8.6999999999999994E-3</v>
      </c>
    </row>
    <row r="141" spans="1:7" x14ac:dyDescent="0.25">
      <c r="A141">
        <v>117</v>
      </c>
      <c r="B141">
        <v>3.4158735552666644E-2</v>
      </c>
      <c r="C141">
        <v>1.3341264447333356E-2</v>
      </c>
      <c r="D141">
        <v>0.41377783934207851</v>
      </c>
      <c r="F141">
        <v>32.005494505494511</v>
      </c>
      <c r="G141">
        <v>-8.6E-3</v>
      </c>
    </row>
    <row r="142" spans="1:7" x14ac:dyDescent="0.25">
      <c r="A142">
        <v>118</v>
      </c>
      <c r="B142">
        <v>1.3208579995026587E-2</v>
      </c>
      <c r="C142">
        <v>-5.0508579995026587E-2</v>
      </c>
      <c r="D142">
        <v>-1.5665180149214399</v>
      </c>
      <c r="F142">
        <v>32.280219780219781</v>
      </c>
      <c r="G142">
        <v>-8.6E-3</v>
      </c>
    </row>
    <row r="143" spans="1:7" x14ac:dyDescent="0.25">
      <c r="A143">
        <v>119</v>
      </c>
      <c r="B143">
        <v>1.1323604559249204E-2</v>
      </c>
      <c r="C143">
        <v>3.2976395440750796E-2</v>
      </c>
      <c r="D143">
        <v>1.022759252590272</v>
      </c>
      <c r="F143">
        <v>32.554945054945058</v>
      </c>
      <c r="G143">
        <v>-8.5000000000000006E-3</v>
      </c>
    </row>
    <row r="144" spans="1:7" x14ac:dyDescent="0.25">
      <c r="A144">
        <v>120</v>
      </c>
      <c r="B144">
        <v>2.1771754117558127E-2</v>
      </c>
      <c r="C144">
        <v>-5.627175411755813E-2</v>
      </c>
      <c r="D144">
        <v>-1.7452622220831477</v>
      </c>
      <c r="F144">
        <v>32.829670329670328</v>
      </c>
      <c r="G144">
        <v>-8.5000000000000006E-3</v>
      </c>
    </row>
    <row r="145" spans="1:7" x14ac:dyDescent="0.25">
      <c r="A145">
        <v>121</v>
      </c>
      <c r="B145">
        <v>-1.167309575723487E-2</v>
      </c>
      <c r="C145">
        <v>-2.682690424276513E-2</v>
      </c>
      <c r="D145">
        <v>-0.83203346411643397</v>
      </c>
      <c r="F145">
        <v>33.104395604395606</v>
      </c>
      <c r="G145">
        <v>-8.0999999999999996E-3</v>
      </c>
    </row>
    <row r="146" spans="1:7" x14ac:dyDescent="0.25">
      <c r="A146">
        <v>122</v>
      </c>
      <c r="B146">
        <v>-2.8745587561275744E-2</v>
      </c>
      <c r="C146">
        <v>-4.2654412438724261E-2</v>
      </c>
      <c r="D146">
        <v>-1.3229218779805361</v>
      </c>
      <c r="F146">
        <v>33.379120879120883</v>
      </c>
      <c r="G146">
        <v>-8.0999999999999996E-3</v>
      </c>
    </row>
    <row r="147" spans="1:7" x14ac:dyDescent="0.25">
      <c r="A147">
        <v>123</v>
      </c>
      <c r="B147">
        <v>3.9452721392063041E-3</v>
      </c>
      <c r="C147">
        <v>-1.0145272139206303E-2</v>
      </c>
      <c r="D147">
        <v>-0.31465449184895233</v>
      </c>
      <c r="F147">
        <v>33.653846153846153</v>
      </c>
      <c r="G147">
        <v>-7.0000000000000001E-3</v>
      </c>
    </row>
    <row r="148" spans="1:7" x14ac:dyDescent="0.25">
      <c r="A148">
        <v>124</v>
      </c>
      <c r="B148">
        <v>-5.2481246563720451E-4</v>
      </c>
      <c r="C148">
        <v>-8.7751875343627939E-3</v>
      </c>
      <c r="D148">
        <v>-0.27216146956115062</v>
      </c>
      <c r="F148">
        <v>33.928571428571431</v>
      </c>
      <c r="G148">
        <v>-6.8999999999999999E-3</v>
      </c>
    </row>
    <row r="149" spans="1:7" x14ac:dyDescent="0.25">
      <c r="A149">
        <v>125</v>
      </c>
      <c r="B149">
        <v>2.3441303789246665E-2</v>
      </c>
      <c r="C149">
        <v>-1.7241303789246664E-2</v>
      </c>
      <c r="D149">
        <v>-0.53473712761767711</v>
      </c>
      <c r="F149">
        <v>34.203296703296701</v>
      </c>
      <c r="G149">
        <v>-6.8999999999999999E-3</v>
      </c>
    </row>
    <row r="150" spans="1:7" x14ac:dyDescent="0.25">
      <c r="A150">
        <v>126</v>
      </c>
      <c r="B150">
        <v>7.0689457184945391E-3</v>
      </c>
      <c r="C150">
        <v>-7.5368945718494534E-2</v>
      </c>
      <c r="D150">
        <v>-2.3375595046481901</v>
      </c>
      <c r="F150">
        <v>34.478021978021978</v>
      </c>
      <c r="G150">
        <v>-6.7999999999999996E-3</v>
      </c>
    </row>
    <row r="151" spans="1:7" x14ac:dyDescent="0.25">
      <c r="A151">
        <v>127</v>
      </c>
      <c r="B151">
        <v>-1.6843314095367122E-2</v>
      </c>
      <c r="C151">
        <v>1.0143314095367121E-2</v>
      </c>
      <c r="D151">
        <v>0.31459376333612565</v>
      </c>
      <c r="F151">
        <v>34.752747252747255</v>
      </c>
      <c r="G151">
        <v>-6.7000000000000002E-3</v>
      </c>
    </row>
    <row r="152" spans="1:7" x14ac:dyDescent="0.25">
      <c r="A152">
        <v>128</v>
      </c>
      <c r="B152">
        <v>-1.9428423264433246E-2</v>
      </c>
      <c r="C152">
        <v>-2.0871576735566756E-2</v>
      </c>
      <c r="D152">
        <v>-0.6473296410095073</v>
      </c>
      <c r="F152">
        <v>35.027472527472526</v>
      </c>
      <c r="G152">
        <v>-6.6E-3</v>
      </c>
    </row>
    <row r="153" spans="1:7" x14ac:dyDescent="0.25">
      <c r="A153">
        <v>129</v>
      </c>
      <c r="B153">
        <v>9.9233370926717183E-3</v>
      </c>
      <c r="C153">
        <v>-2.0423337092671717E-2</v>
      </c>
      <c r="D153">
        <v>-0.63342753812587504</v>
      </c>
      <c r="F153">
        <v>35.302197802197803</v>
      </c>
      <c r="G153">
        <v>-6.3E-3</v>
      </c>
    </row>
    <row r="154" spans="1:7" x14ac:dyDescent="0.25">
      <c r="A154">
        <v>130</v>
      </c>
      <c r="B154">
        <v>-1.4958338659589737E-2</v>
      </c>
      <c r="C154">
        <v>-1.3341661340410262E-2</v>
      </c>
      <c r="D154">
        <v>-0.41379014893690441</v>
      </c>
      <c r="F154">
        <v>35.57692307692308</v>
      </c>
      <c r="G154">
        <v>-6.1999999999999998E-3</v>
      </c>
    </row>
    <row r="155" spans="1:7" x14ac:dyDescent="0.25">
      <c r="A155">
        <v>131</v>
      </c>
      <c r="B155">
        <v>1.360162970140179E-3</v>
      </c>
      <c r="C155">
        <v>1.6839837029859823E-2</v>
      </c>
      <c r="D155">
        <v>0.52228568053614077</v>
      </c>
      <c r="F155">
        <v>35.85164835164835</v>
      </c>
      <c r="G155">
        <v>-6.1999999999999998E-3</v>
      </c>
    </row>
    <row r="156" spans="1:7" x14ac:dyDescent="0.25">
      <c r="A156">
        <v>132</v>
      </c>
      <c r="B156">
        <v>-1.2788026399481577E-3</v>
      </c>
      <c r="C156">
        <v>4.417880263994816E-2</v>
      </c>
      <c r="D156">
        <v>1.3702006712513446</v>
      </c>
      <c r="F156">
        <v>36.126373626373628</v>
      </c>
      <c r="G156">
        <v>-6.1999999999999998E-3</v>
      </c>
    </row>
    <row r="157" spans="1:7" x14ac:dyDescent="0.25">
      <c r="A157">
        <v>133</v>
      </c>
      <c r="B157">
        <v>2.7749819071023543E-2</v>
      </c>
      <c r="C157">
        <v>-1.7449819071023543E-2</v>
      </c>
      <c r="D157">
        <v>-0.54120420598974905</v>
      </c>
      <c r="F157">
        <v>36.401098901098905</v>
      </c>
      <c r="G157">
        <v>-6.0000000000000001E-3</v>
      </c>
    </row>
    <row r="158" spans="1:7" x14ac:dyDescent="0.25">
      <c r="A158">
        <v>134</v>
      </c>
      <c r="B158">
        <v>1.7463238835781249E-2</v>
      </c>
      <c r="C158">
        <v>-5.1363238835781248E-2</v>
      </c>
      <c r="D158">
        <v>-1.5930251642173792</v>
      </c>
      <c r="F158">
        <v>36.675824175824175</v>
      </c>
      <c r="G158">
        <v>-4.8999999999999998E-3</v>
      </c>
    </row>
    <row r="159" spans="1:7" x14ac:dyDescent="0.25">
      <c r="A159">
        <v>135</v>
      </c>
      <c r="B159">
        <v>2.6527175546732415E-3</v>
      </c>
      <c r="C159">
        <v>4.6447282445326754E-2</v>
      </c>
      <c r="D159">
        <v>1.4405573211900473</v>
      </c>
      <c r="F159">
        <v>36.950549450549453</v>
      </c>
      <c r="G159">
        <v>-4.5999999999999999E-3</v>
      </c>
    </row>
    <row r="160" spans="1:7" x14ac:dyDescent="0.25">
      <c r="A160">
        <v>136</v>
      </c>
      <c r="B160">
        <v>2.2525744291869078E-2</v>
      </c>
      <c r="C160">
        <v>-2.5825744291869079E-2</v>
      </c>
      <c r="D160">
        <v>-0.80098259911387482</v>
      </c>
      <c r="F160">
        <v>37.225274725274723</v>
      </c>
      <c r="G160">
        <v>-4.1999999999999997E-3</v>
      </c>
    </row>
    <row r="161" spans="1:7" x14ac:dyDescent="0.25">
      <c r="A161">
        <v>137</v>
      </c>
      <c r="B161">
        <v>1.627839713329261E-2</v>
      </c>
      <c r="C161">
        <v>5.2160286670738937E-4</v>
      </c>
      <c r="D161">
        <v>1.6177455145487147E-2</v>
      </c>
      <c r="F161">
        <v>37.5</v>
      </c>
      <c r="G161">
        <v>-4.0000000000000001E-3</v>
      </c>
    </row>
    <row r="162" spans="1:7" x14ac:dyDescent="0.25">
      <c r="A162">
        <v>138</v>
      </c>
      <c r="B162">
        <v>5.5231635480701468E-4</v>
      </c>
      <c r="C162">
        <v>-2.3652316354807013E-2</v>
      </c>
      <c r="D162">
        <v>-0.73357397234439292</v>
      </c>
      <c r="F162">
        <v>37.774725274725277</v>
      </c>
      <c r="G162">
        <v>-4.0000000000000001E-3</v>
      </c>
    </row>
    <row r="163" spans="1:7" x14ac:dyDescent="0.25">
      <c r="A163">
        <v>139</v>
      </c>
      <c r="B163">
        <v>-2.5729626864031928E-2</v>
      </c>
      <c r="C163">
        <v>-1.1470373135968069E-2</v>
      </c>
      <c r="D163">
        <v>-0.3557523525138544</v>
      </c>
      <c r="F163">
        <v>38.049450549450547</v>
      </c>
      <c r="G163">
        <v>-3.8999999999999998E-3</v>
      </c>
    </row>
    <row r="164" spans="1:7" x14ac:dyDescent="0.25">
      <c r="A164">
        <v>140</v>
      </c>
      <c r="B164">
        <v>1.9525838213844994E-3</v>
      </c>
      <c r="C164">
        <v>-6.8652583821384491E-2</v>
      </c>
      <c r="D164">
        <v>-2.1292522842196839</v>
      </c>
      <c r="F164">
        <v>38.324175824175825</v>
      </c>
      <c r="G164">
        <v>-3.8E-3</v>
      </c>
    </row>
    <row r="165" spans="1:7" x14ac:dyDescent="0.25">
      <c r="A165">
        <v>141</v>
      </c>
      <c r="B165">
        <v>1.2146482662932744E-4</v>
      </c>
      <c r="C165">
        <v>7.3785351733706723E-3</v>
      </c>
      <c r="D165">
        <v>0.228844451258673</v>
      </c>
      <c r="F165">
        <v>38.598901098901102</v>
      </c>
      <c r="G165">
        <v>-3.8E-3</v>
      </c>
    </row>
    <row r="166" spans="1:7" x14ac:dyDescent="0.25">
      <c r="A166">
        <v>142</v>
      </c>
      <c r="B166">
        <v>-2.0720977848966309E-2</v>
      </c>
      <c r="C166">
        <v>-3.1479022151033695E-2</v>
      </c>
      <c r="D166">
        <v>-0.97631838583783148</v>
      </c>
      <c r="F166">
        <v>38.873626373626372</v>
      </c>
      <c r="G166">
        <v>-3.7000000000000002E-3</v>
      </c>
    </row>
    <row r="167" spans="1:7" x14ac:dyDescent="0.25">
      <c r="A167">
        <v>143</v>
      </c>
      <c r="B167">
        <v>2.830341496959602E-4</v>
      </c>
      <c r="C167">
        <v>-4.18303414969596E-3</v>
      </c>
      <c r="D167">
        <v>-0.12973634089842837</v>
      </c>
      <c r="F167">
        <v>39.14835164835165</v>
      </c>
      <c r="G167">
        <v>-3.3E-3</v>
      </c>
    </row>
    <row r="168" spans="1:7" x14ac:dyDescent="0.25">
      <c r="A168">
        <v>144</v>
      </c>
      <c r="B168">
        <v>1.8163372569069997E-2</v>
      </c>
      <c r="C168">
        <v>6.8836627430929997E-2</v>
      </c>
      <c r="D168">
        <v>2.1349603763876401</v>
      </c>
      <c r="F168">
        <v>39.423076923076927</v>
      </c>
      <c r="G168">
        <v>-3.3E-3</v>
      </c>
    </row>
    <row r="169" spans="1:7" x14ac:dyDescent="0.25">
      <c r="A169">
        <v>145</v>
      </c>
      <c r="B169">
        <v>1.5847545605114921E-2</v>
      </c>
      <c r="C169">
        <v>-3.034754560511492E-2</v>
      </c>
      <c r="D169">
        <v>-0.94122576607268704</v>
      </c>
      <c r="F169">
        <v>39.697802197802197</v>
      </c>
      <c r="G169">
        <v>-3.3E-3</v>
      </c>
    </row>
    <row r="170" spans="1:7" x14ac:dyDescent="0.25">
      <c r="A170">
        <v>146</v>
      </c>
      <c r="B170">
        <v>1.8432654774181045E-2</v>
      </c>
      <c r="C170">
        <v>-2.9532654774181044E-2</v>
      </c>
      <c r="D170">
        <v>-0.91595201719719077</v>
      </c>
      <c r="F170">
        <v>39.972527472527474</v>
      </c>
      <c r="G170">
        <v>-3.2000000000000002E-3</v>
      </c>
    </row>
    <row r="171" spans="1:7" x14ac:dyDescent="0.25">
      <c r="A171">
        <v>147</v>
      </c>
      <c r="B171">
        <v>7.3920843646278047E-3</v>
      </c>
      <c r="C171">
        <v>3.8079156353721952E-3</v>
      </c>
      <c r="D171">
        <v>0.11810208171956003</v>
      </c>
      <c r="F171">
        <v>40.247252747252752</v>
      </c>
      <c r="G171">
        <v>-3.0999999999999999E-3</v>
      </c>
    </row>
    <row r="172" spans="1:7" x14ac:dyDescent="0.25">
      <c r="A172">
        <v>148</v>
      </c>
      <c r="B172">
        <v>1.5255124753870601E-2</v>
      </c>
      <c r="C172">
        <v>-1.8955124753870602E-2</v>
      </c>
      <c r="D172">
        <v>-0.58789109503663439</v>
      </c>
      <c r="F172">
        <v>40.521978021978022</v>
      </c>
      <c r="G172">
        <v>-2.7000000000000001E-3</v>
      </c>
    </row>
    <row r="173" spans="1:7" x14ac:dyDescent="0.25">
      <c r="A173">
        <v>149</v>
      </c>
      <c r="B173">
        <v>1.5201268312848392E-2</v>
      </c>
      <c r="C173">
        <v>5.1498731687151605E-2</v>
      </c>
      <c r="D173">
        <v>1.5972274599973364</v>
      </c>
      <c r="F173">
        <v>40.796703296703299</v>
      </c>
      <c r="G173">
        <v>-2.7000000000000001E-3</v>
      </c>
    </row>
    <row r="174" spans="1:7" x14ac:dyDescent="0.25">
      <c r="A174">
        <v>150</v>
      </c>
      <c r="B174">
        <v>-9.5566399381489218E-4</v>
      </c>
      <c r="C174">
        <v>-9.4443360061851073E-3</v>
      </c>
      <c r="D174">
        <v>-0.29291503530918833</v>
      </c>
      <c r="F174">
        <v>41.071428571428569</v>
      </c>
      <c r="G174">
        <v>-2.5000000000000001E-3</v>
      </c>
    </row>
    <row r="175" spans="1:7" x14ac:dyDescent="0.25">
      <c r="A175">
        <v>151</v>
      </c>
      <c r="B175">
        <v>2.0586912415069485E-2</v>
      </c>
      <c r="C175">
        <v>6.0113087584930509E-2</v>
      </c>
      <c r="D175">
        <v>1.8644007541613017</v>
      </c>
      <c r="F175">
        <v>41.346153846153847</v>
      </c>
      <c r="G175">
        <v>-2.5000000000000001E-3</v>
      </c>
    </row>
    <row r="176" spans="1:7" x14ac:dyDescent="0.25">
      <c r="A176">
        <v>152</v>
      </c>
      <c r="B176">
        <v>-4.2409068961697591E-3</v>
      </c>
      <c r="C176">
        <v>-4.125909310383024E-2</v>
      </c>
      <c r="D176">
        <v>-1.2796462033348637</v>
      </c>
      <c r="F176">
        <v>41.620879120879124</v>
      </c>
      <c r="G176">
        <v>-2.5000000000000001E-3</v>
      </c>
    </row>
    <row r="177" spans="1:7" x14ac:dyDescent="0.25">
      <c r="A177">
        <v>153</v>
      </c>
      <c r="B177">
        <v>1.0946609472093726E-2</v>
      </c>
      <c r="C177">
        <v>9.453390527906275E-3</v>
      </c>
      <c r="D177">
        <v>0.29319586029761807</v>
      </c>
      <c r="F177">
        <v>41.895604395604394</v>
      </c>
      <c r="G177">
        <v>-2.3999999999999998E-3</v>
      </c>
    </row>
    <row r="178" spans="1:7" x14ac:dyDescent="0.25">
      <c r="A178">
        <v>154</v>
      </c>
      <c r="B178">
        <v>1.360162970140179E-3</v>
      </c>
      <c r="C178">
        <v>5.8639837029859816E-2</v>
      </c>
      <c r="D178">
        <v>1.8187080513524223</v>
      </c>
      <c r="F178">
        <v>42.170329670329672</v>
      </c>
      <c r="G178">
        <v>-2.0999999999999999E-3</v>
      </c>
    </row>
    <row r="179" spans="1:7" x14ac:dyDescent="0.25">
      <c r="A179">
        <v>155</v>
      </c>
      <c r="B179">
        <v>9.3309162414273988E-3</v>
      </c>
      <c r="C179">
        <v>-1.5630916241427401E-2</v>
      </c>
      <c r="D179">
        <v>-0.48479113616607739</v>
      </c>
      <c r="F179">
        <v>42.445054945054949</v>
      </c>
      <c r="G179">
        <v>0</v>
      </c>
    </row>
    <row r="180" spans="1:7" x14ac:dyDescent="0.25">
      <c r="A180">
        <v>156</v>
      </c>
      <c r="B180">
        <v>8.792351831205289E-3</v>
      </c>
      <c r="C180">
        <v>-2.7792351831205288E-2</v>
      </c>
      <c r="D180">
        <v>-0.8619767141524256</v>
      </c>
      <c r="F180">
        <v>42.719780219780219</v>
      </c>
      <c r="G180">
        <v>0</v>
      </c>
    </row>
    <row r="181" spans="1:7" x14ac:dyDescent="0.25">
      <c r="A181">
        <v>157</v>
      </c>
      <c r="B181">
        <v>1.6332253574314823E-2</v>
      </c>
      <c r="C181">
        <v>2.8867746425685174E-2</v>
      </c>
      <c r="D181">
        <v>0.89532995840454588</v>
      </c>
      <c r="F181">
        <v>42.994505494505496</v>
      </c>
      <c r="G181">
        <v>0</v>
      </c>
    </row>
    <row r="182" spans="1:7" x14ac:dyDescent="0.25">
      <c r="A182">
        <v>158</v>
      </c>
      <c r="B182">
        <v>1.337014931809322E-2</v>
      </c>
      <c r="C182">
        <v>-1.0270149318093219E-2</v>
      </c>
      <c r="D182">
        <v>-0.31852754372247921</v>
      </c>
      <c r="F182">
        <v>43.269230769230774</v>
      </c>
      <c r="G182">
        <v>0</v>
      </c>
    </row>
    <row r="183" spans="1:7" x14ac:dyDescent="0.25">
      <c r="A183">
        <v>159</v>
      </c>
      <c r="B183">
        <v>9.7079113285828758E-3</v>
      </c>
      <c r="C183">
        <v>-1.8907911328582876E-2</v>
      </c>
      <c r="D183">
        <v>-0.58642677588003456</v>
      </c>
      <c r="F183">
        <v>43.543956043956044</v>
      </c>
      <c r="G183">
        <v>0</v>
      </c>
    </row>
    <row r="184" spans="1:7" x14ac:dyDescent="0.25">
      <c r="A184">
        <v>160</v>
      </c>
      <c r="B184">
        <v>2.381829887640214E-2</v>
      </c>
      <c r="C184">
        <v>-7.3518298876402141E-2</v>
      </c>
      <c r="D184">
        <v>-2.2801618977924702</v>
      </c>
      <c r="F184">
        <v>43.818681318681321</v>
      </c>
      <c r="G184">
        <v>0</v>
      </c>
    </row>
    <row r="185" spans="1:7" x14ac:dyDescent="0.25">
      <c r="A185">
        <v>161</v>
      </c>
      <c r="B185">
        <v>1.3316292877071008E-2</v>
      </c>
      <c r="C185">
        <v>-2.1629287707100771E-4</v>
      </c>
      <c r="D185">
        <v>-6.7082996287815885E-3</v>
      </c>
      <c r="F185">
        <v>44.093406593406591</v>
      </c>
      <c r="G185">
        <v>0</v>
      </c>
    </row>
    <row r="186" spans="1:7" x14ac:dyDescent="0.25">
      <c r="A186">
        <v>162</v>
      </c>
      <c r="B186">
        <v>2.1879466999602547E-2</v>
      </c>
      <c r="C186">
        <v>-3.7979466999602543E-2</v>
      </c>
      <c r="D186">
        <v>-1.1779289629177863</v>
      </c>
      <c r="F186">
        <v>44.368131868131869</v>
      </c>
      <c r="G186">
        <v>0</v>
      </c>
    </row>
    <row r="187" spans="1:7" x14ac:dyDescent="0.25">
      <c r="A187">
        <v>163</v>
      </c>
      <c r="B187">
        <v>2.1233189707336016E-2</v>
      </c>
      <c r="C187">
        <v>-1.5331897073360169E-3</v>
      </c>
      <c r="D187">
        <v>-4.755170897836556E-2</v>
      </c>
      <c r="F187">
        <v>44.642857142857146</v>
      </c>
      <c r="G187">
        <v>0</v>
      </c>
    </row>
    <row r="188" spans="1:7" x14ac:dyDescent="0.25">
      <c r="A188">
        <v>164</v>
      </c>
      <c r="B188">
        <v>8.9539211542719217E-3</v>
      </c>
      <c r="C188">
        <v>1.0346078845728079E-2</v>
      </c>
      <c r="D188">
        <v>0.32088248961318128</v>
      </c>
      <c r="F188">
        <v>44.917582417582416</v>
      </c>
      <c r="G188">
        <v>0</v>
      </c>
    </row>
    <row r="189" spans="1:7" x14ac:dyDescent="0.25">
      <c r="A189">
        <v>165</v>
      </c>
      <c r="B189">
        <v>4.4299801084062024E-3</v>
      </c>
      <c r="C189">
        <v>1.8700198915937976E-3</v>
      </c>
      <c r="D189">
        <v>5.7998459840517644E-2</v>
      </c>
      <c r="F189">
        <v>45.192307692307693</v>
      </c>
      <c r="G189">
        <v>0</v>
      </c>
    </row>
    <row r="190" spans="1:7" x14ac:dyDescent="0.25">
      <c r="A190">
        <v>166</v>
      </c>
      <c r="B190">
        <v>-2.4437072279498866E-2</v>
      </c>
      <c r="C190">
        <v>5.5737072279498867E-2</v>
      </c>
      <c r="D190">
        <v>1.7286791240896264</v>
      </c>
      <c r="F190">
        <v>45.467032967032971</v>
      </c>
      <c r="G190">
        <v>0</v>
      </c>
    </row>
    <row r="191" spans="1:7" x14ac:dyDescent="0.25">
      <c r="A191">
        <v>167</v>
      </c>
      <c r="B191">
        <v>-1.4581343572434258E-2</v>
      </c>
      <c r="C191">
        <v>-5.831865642756575E-2</v>
      </c>
      <c r="D191">
        <v>-1.8087466705417461</v>
      </c>
      <c r="F191">
        <v>45.741758241758241</v>
      </c>
      <c r="G191">
        <v>0</v>
      </c>
    </row>
    <row r="192" spans="1:7" x14ac:dyDescent="0.25">
      <c r="A192">
        <v>168</v>
      </c>
      <c r="B192">
        <v>4.3222672263617812E-3</v>
      </c>
      <c r="C192">
        <v>4.4877732773638219E-2</v>
      </c>
      <c r="D192">
        <v>1.3918779119440099</v>
      </c>
      <c r="F192">
        <v>46.016483516483518</v>
      </c>
      <c r="G192">
        <v>0</v>
      </c>
    </row>
    <row r="193" spans="1:7" x14ac:dyDescent="0.25">
      <c r="A193">
        <v>169</v>
      </c>
      <c r="B193">
        <v>2.1394759030402652E-2</v>
      </c>
      <c r="C193">
        <v>-3.0794759030402651E-2</v>
      </c>
      <c r="D193">
        <v>-0.95509604093087819</v>
      </c>
      <c r="F193">
        <v>46.291208791208796</v>
      </c>
      <c r="G193">
        <v>0</v>
      </c>
    </row>
    <row r="194" spans="1:7" x14ac:dyDescent="0.25">
      <c r="A194">
        <v>170</v>
      </c>
      <c r="B194">
        <v>1.3693287964226485E-2</v>
      </c>
      <c r="C194">
        <v>-1.6893287964226487E-2</v>
      </c>
      <c r="D194">
        <v>-0.52394345534604447</v>
      </c>
      <c r="F194">
        <v>46.565934065934066</v>
      </c>
      <c r="G194">
        <v>2E-3</v>
      </c>
    </row>
    <row r="195" spans="1:7" x14ac:dyDescent="0.25">
      <c r="A195">
        <v>171</v>
      </c>
      <c r="B195">
        <v>1.8217229010092206E-2</v>
      </c>
      <c r="C195">
        <v>1.0282770989907795E-2</v>
      </c>
      <c r="D195">
        <v>0.31891900347600832</v>
      </c>
      <c r="F195">
        <v>46.840659340659343</v>
      </c>
      <c r="G195">
        <v>2E-3</v>
      </c>
    </row>
    <row r="196" spans="1:7" x14ac:dyDescent="0.25">
      <c r="A196">
        <v>172</v>
      </c>
      <c r="B196">
        <v>7.9306487748499153E-3</v>
      </c>
      <c r="C196">
        <v>-1.4130648774849916E-2</v>
      </c>
      <c r="D196">
        <v>-0.43826050683883055</v>
      </c>
      <c r="F196">
        <v>47.11538461538462</v>
      </c>
      <c r="G196">
        <v>2.3E-3</v>
      </c>
    </row>
    <row r="197" spans="1:7" x14ac:dyDescent="0.25">
      <c r="A197">
        <v>173</v>
      </c>
      <c r="B197">
        <v>-8.9264172651021111E-3</v>
      </c>
      <c r="C197">
        <v>3.062641726510211E-2</v>
      </c>
      <c r="D197">
        <v>0.94987493972326276</v>
      </c>
      <c r="F197">
        <v>47.390109890109891</v>
      </c>
      <c r="G197">
        <v>2.3999999999999998E-3</v>
      </c>
    </row>
    <row r="198" spans="1:7" x14ac:dyDescent="0.25">
      <c r="A198">
        <v>174</v>
      </c>
      <c r="B198">
        <v>1.6763105102492508E-2</v>
      </c>
      <c r="C198">
        <v>3.1736894897507494E-2</v>
      </c>
      <c r="D198">
        <v>0.98431628051133546</v>
      </c>
      <c r="F198">
        <v>47.664835164835168</v>
      </c>
      <c r="G198">
        <v>2.5000000000000001E-3</v>
      </c>
    </row>
    <row r="199" spans="1:7" x14ac:dyDescent="0.25">
      <c r="A199">
        <v>175</v>
      </c>
      <c r="B199">
        <v>9.3847726824496103E-3</v>
      </c>
      <c r="C199">
        <v>1.6615227317550389E-2</v>
      </c>
      <c r="D199">
        <v>0.51531943518349588</v>
      </c>
      <c r="F199">
        <v>47.939560439560438</v>
      </c>
      <c r="G199">
        <v>2.5000000000000001E-3</v>
      </c>
    </row>
    <row r="200" spans="1:7" x14ac:dyDescent="0.25">
      <c r="A200">
        <v>176</v>
      </c>
      <c r="B200">
        <v>8.3615003030276022E-3</v>
      </c>
      <c r="C200">
        <v>2.9384996969723971E-3</v>
      </c>
      <c r="D200">
        <v>9.1137242674446908E-2</v>
      </c>
      <c r="F200">
        <v>48.214285714285715</v>
      </c>
      <c r="G200">
        <v>2.5999999999999999E-3</v>
      </c>
    </row>
    <row r="201" spans="1:7" x14ac:dyDescent="0.25">
      <c r="A201">
        <v>177</v>
      </c>
      <c r="B201">
        <v>4.589943969550863E-2</v>
      </c>
      <c r="C201">
        <v>9.0600560304491373E-2</v>
      </c>
      <c r="D201">
        <v>2.8099663441921585</v>
      </c>
      <c r="F201">
        <v>48.489010989010993</v>
      </c>
      <c r="G201">
        <v>3.0000000000000001E-3</v>
      </c>
    </row>
    <row r="202" spans="1:7" x14ac:dyDescent="0.25">
      <c r="A202">
        <v>178</v>
      </c>
      <c r="B202">
        <v>2.4372917905843977E-3</v>
      </c>
      <c r="C202">
        <v>-2.2037291790584397E-2</v>
      </c>
      <c r="D202">
        <v>-0.68348416434257442</v>
      </c>
      <c r="F202">
        <v>48.763736263736263</v>
      </c>
      <c r="G202">
        <v>3.0999999999999999E-3</v>
      </c>
    </row>
    <row r="203" spans="1:7" x14ac:dyDescent="0.25">
      <c r="A203">
        <v>179</v>
      </c>
      <c r="B203">
        <v>2.3172021584135609E-2</v>
      </c>
      <c r="C203">
        <v>-1.5672021584135609E-2</v>
      </c>
      <c r="D203">
        <v>-0.48606601381791931</v>
      </c>
      <c r="F203">
        <v>49.03846153846154</v>
      </c>
      <c r="G203">
        <v>4.0000000000000001E-3</v>
      </c>
    </row>
    <row r="204" spans="1:7" x14ac:dyDescent="0.25">
      <c r="A204">
        <v>180</v>
      </c>
      <c r="B204">
        <v>1.0569614384938249E-2</v>
      </c>
      <c r="C204">
        <v>-2.2969614384938247E-2</v>
      </c>
      <c r="D204">
        <v>-0.71240004635544052</v>
      </c>
      <c r="F204">
        <v>49.313186813186817</v>
      </c>
      <c r="G204">
        <v>4.0000000000000001E-3</v>
      </c>
    </row>
    <row r="205" spans="1:7" x14ac:dyDescent="0.25">
      <c r="A205">
        <v>181</v>
      </c>
      <c r="B205">
        <v>6.7608385607116368E-5</v>
      </c>
      <c r="C205">
        <v>-2.5676083856071164E-3</v>
      </c>
      <c r="D205">
        <v>-7.9634089727190049E-2</v>
      </c>
      <c r="F205">
        <v>49.587912087912088</v>
      </c>
      <c r="G205">
        <v>4.0000000000000001E-3</v>
      </c>
    </row>
    <row r="206" spans="1:7" x14ac:dyDescent="0.25">
      <c r="A206">
        <v>182</v>
      </c>
      <c r="B206">
        <v>7.9845052158721251E-3</v>
      </c>
      <c r="C206">
        <v>-5.4845052158721246E-3</v>
      </c>
      <c r="D206">
        <v>-0.17010132188313884</v>
      </c>
      <c r="F206">
        <v>49.862637362637365</v>
      </c>
      <c r="G206">
        <v>4.0000000000000001E-3</v>
      </c>
    </row>
    <row r="207" spans="1:7" x14ac:dyDescent="0.25">
      <c r="A207">
        <v>183</v>
      </c>
      <c r="B207">
        <v>3.6759899340952497E-3</v>
      </c>
      <c r="C207">
        <v>-1.1759899340952496E-3</v>
      </c>
      <c r="D207">
        <v>-3.6473197569757095E-2</v>
      </c>
      <c r="F207">
        <v>50.137362637362642</v>
      </c>
      <c r="G207">
        <v>4.0000000000000001E-3</v>
      </c>
    </row>
    <row r="208" spans="1:7" x14ac:dyDescent="0.25">
      <c r="A208">
        <v>184</v>
      </c>
      <c r="B208">
        <v>2.371058599435772E-2</v>
      </c>
      <c r="C208">
        <v>6.3894140056422778E-3</v>
      </c>
      <c r="D208">
        <v>0.19816696778281143</v>
      </c>
      <c r="F208">
        <v>50.412087912087912</v>
      </c>
      <c r="G208">
        <v>4.1999999999999997E-3</v>
      </c>
    </row>
    <row r="209" spans="1:7" x14ac:dyDescent="0.25">
      <c r="A209">
        <v>185</v>
      </c>
      <c r="B209">
        <v>9.2770598004051873E-3</v>
      </c>
      <c r="C209">
        <v>7.722940199594814E-3</v>
      </c>
      <c r="D209">
        <v>0.23952613500552816</v>
      </c>
      <c r="F209">
        <v>50.68681318681319</v>
      </c>
      <c r="G209">
        <v>4.1999999999999997E-3</v>
      </c>
    </row>
    <row r="210" spans="1:7" x14ac:dyDescent="0.25">
      <c r="A210">
        <v>186</v>
      </c>
      <c r="B210">
        <v>1.6294451752512334E-3</v>
      </c>
      <c r="C210">
        <v>2.7070554824748766E-2</v>
      </c>
      <c r="D210">
        <v>0.8395902599333237</v>
      </c>
      <c r="F210">
        <v>50.961538461538467</v>
      </c>
      <c r="G210">
        <v>4.5999999999999999E-3</v>
      </c>
    </row>
    <row r="211" spans="1:7" x14ac:dyDescent="0.25">
      <c r="A211">
        <v>187</v>
      </c>
      <c r="B211">
        <v>-2.0327928142591109E-3</v>
      </c>
      <c r="C211">
        <v>2.0327928142591109E-3</v>
      </c>
      <c r="D211">
        <v>6.3046844010528666E-2</v>
      </c>
      <c r="F211">
        <v>51.236263736263737</v>
      </c>
      <c r="G211">
        <v>4.7000000000000002E-3</v>
      </c>
    </row>
    <row r="212" spans="1:7" x14ac:dyDescent="0.25">
      <c r="A212">
        <v>188</v>
      </c>
      <c r="B212">
        <v>-9.5726945573686422E-3</v>
      </c>
      <c r="C212">
        <v>-2.0627305442631361E-2</v>
      </c>
      <c r="D212">
        <v>-0.63975359391119002</v>
      </c>
      <c r="F212">
        <v>51.510989010989015</v>
      </c>
      <c r="G212">
        <v>4.7000000000000002E-3</v>
      </c>
    </row>
    <row r="213" spans="1:7" x14ac:dyDescent="0.25">
      <c r="A213">
        <v>189</v>
      </c>
      <c r="B213">
        <v>-6.072025890924931E-3</v>
      </c>
      <c r="C213">
        <v>-1.0727974109075068E-2</v>
      </c>
      <c r="D213">
        <v>-0.33272692891250688</v>
      </c>
      <c r="F213">
        <v>51.785714285714285</v>
      </c>
      <c r="G213">
        <v>4.7999999999999996E-3</v>
      </c>
    </row>
    <row r="214" spans="1:7" x14ac:dyDescent="0.25">
      <c r="A214">
        <v>190</v>
      </c>
      <c r="B214">
        <v>1.9294357830536422E-2</v>
      </c>
      <c r="C214">
        <v>5.1056421694635791E-3</v>
      </c>
      <c r="D214">
        <v>0.15835092645635307</v>
      </c>
      <c r="F214">
        <v>52.060439560439562</v>
      </c>
      <c r="G214">
        <v>5.0000000000000001E-3</v>
      </c>
    </row>
    <row r="215" spans="1:7" x14ac:dyDescent="0.25">
      <c r="A215">
        <v>191</v>
      </c>
      <c r="B215">
        <v>3.6759899340952497E-3</v>
      </c>
      <c r="C215">
        <v>-2.037598993409525E-2</v>
      </c>
      <c r="D215">
        <v>-0.63195907124613537</v>
      </c>
      <c r="F215">
        <v>52.335164835164839</v>
      </c>
      <c r="G215">
        <v>6.0000000000000001E-3</v>
      </c>
    </row>
    <row r="216" spans="1:7" x14ac:dyDescent="0.25">
      <c r="A216">
        <v>192</v>
      </c>
      <c r="B216">
        <v>-1.2804081018701301E-2</v>
      </c>
      <c r="C216">
        <v>-3.31959189812987E-2</v>
      </c>
      <c r="D216">
        <v>-1.0295677508890064</v>
      </c>
      <c r="F216">
        <v>52.609890109890109</v>
      </c>
      <c r="G216">
        <v>6.1000000000000004E-3</v>
      </c>
    </row>
    <row r="217" spans="1:7" x14ac:dyDescent="0.25">
      <c r="A217">
        <v>193</v>
      </c>
      <c r="B217">
        <v>3.4067077289841948E-3</v>
      </c>
      <c r="C217">
        <v>-1.3606707728984195E-2</v>
      </c>
      <c r="D217">
        <v>-0.42201053332569177</v>
      </c>
      <c r="F217">
        <v>52.884615384615387</v>
      </c>
      <c r="G217">
        <v>6.1999999999999998E-3</v>
      </c>
    </row>
    <row r="218" spans="1:7" x14ac:dyDescent="0.25">
      <c r="A218">
        <v>194</v>
      </c>
      <c r="B218">
        <v>-1.3665784075056675E-2</v>
      </c>
      <c r="C218">
        <v>1.6265784075056675E-2</v>
      </c>
      <c r="D218">
        <v>0.50448149171700229</v>
      </c>
      <c r="F218">
        <v>53.159340659340664</v>
      </c>
      <c r="G218">
        <v>6.3E-3</v>
      </c>
    </row>
    <row r="219" spans="1:7" x14ac:dyDescent="0.25">
      <c r="A219">
        <v>195</v>
      </c>
      <c r="B219">
        <v>6.7608385607116368E-5</v>
      </c>
      <c r="C219">
        <v>6.3832391614392886E-2</v>
      </c>
      <c r="D219">
        <v>1.9797545567369514</v>
      </c>
      <c r="F219">
        <v>53.434065934065934</v>
      </c>
      <c r="G219">
        <v>6.3E-3</v>
      </c>
    </row>
    <row r="220" spans="1:7" x14ac:dyDescent="0.25">
      <c r="A220">
        <v>196</v>
      </c>
      <c r="B220">
        <v>-2.8476305356164688E-2</v>
      </c>
      <c r="C220">
        <v>1.4076305356164689E-2</v>
      </c>
      <c r="D220">
        <v>0.43657505172662564</v>
      </c>
      <c r="F220">
        <v>53.708791208791212</v>
      </c>
      <c r="G220">
        <v>6.4000000000000003E-3</v>
      </c>
    </row>
    <row r="221" spans="1:7" x14ac:dyDescent="0.25">
      <c r="A221">
        <v>197</v>
      </c>
      <c r="B221">
        <v>1.9294357830536422E-2</v>
      </c>
      <c r="C221">
        <v>-5.3394357830536421E-2</v>
      </c>
      <c r="D221">
        <v>-1.6560200949013619</v>
      </c>
      <c r="F221">
        <v>53.983516483516489</v>
      </c>
      <c r="G221">
        <v>6.4999999999999997E-3</v>
      </c>
    </row>
    <row r="222" spans="1:7" x14ac:dyDescent="0.25">
      <c r="A222">
        <v>198</v>
      </c>
      <c r="B222">
        <v>6.2072426621391638E-3</v>
      </c>
      <c r="C222">
        <v>1.6492757337860837E-2</v>
      </c>
      <c r="D222">
        <v>0.51152104232648743</v>
      </c>
      <c r="F222">
        <v>54.258241758241759</v>
      </c>
      <c r="G222">
        <v>6.7000000000000002E-3</v>
      </c>
    </row>
    <row r="223" spans="1:7" x14ac:dyDescent="0.25">
      <c r="A223">
        <v>199</v>
      </c>
      <c r="B223">
        <v>5.5609653698726327E-3</v>
      </c>
      <c r="C223">
        <v>-8.0609653698726323E-3</v>
      </c>
      <c r="D223">
        <v>-0.25000994822675177</v>
      </c>
      <c r="F223">
        <v>54.532967032967036</v>
      </c>
      <c r="G223">
        <v>6.7999999999999996E-3</v>
      </c>
    </row>
    <row r="224" spans="1:7" x14ac:dyDescent="0.25">
      <c r="A224">
        <v>200</v>
      </c>
      <c r="B224">
        <v>2.2525744291869078E-2</v>
      </c>
      <c r="C224">
        <v>-1.7525744291869077E-2</v>
      </c>
      <c r="D224">
        <v>-0.54355901830585707</v>
      </c>
      <c r="F224">
        <v>54.807692307692307</v>
      </c>
      <c r="G224">
        <v>6.7999999999999996E-3</v>
      </c>
    </row>
    <row r="225" spans="1:7" x14ac:dyDescent="0.25">
      <c r="A225">
        <v>201</v>
      </c>
      <c r="B225">
        <v>-3.594629603903228E-3</v>
      </c>
      <c r="C225">
        <v>5.7794629603903226E-2</v>
      </c>
      <c r="D225">
        <v>1.7924940366397388</v>
      </c>
      <c r="F225">
        <v>55.082417582417584</v>
      </c>
      <c r="G225">
        <v>7.0000000000000001E-3</v>
      </c>
    </row>
    <row r="226" spans="1:7" x14ac:dyDescent="0.25">
      <c r="A226">
        <v>202</v>
      </c>
      <c r="B226">
        <v>2.5003140578890783E-2</v>
      </c>
      <c r="C226">
        <v>-3.2003140578890782E-2</v>
      </c>
      <c r="D226">
        <v>-0.99257386083378807</v>
      </c>
      <c r="F226">
        <v>55.357142857142861</v>
      </c>
      <c r="G226">
        <v>7.1000000000000004E-3</v>
      </c>
    </row>
    <row r="227" spans="1:7" x14ac:dyDescent="0.25">
      <c r="A227">
        <v>203</v>
      </c>
      <c r="B227">
        <v>7.338227923605594E-3</v>
      </c>
      <c r="C227">
        <v>4.9161772076394411E-2</v>
      </c>
      <c r="D227">
        <v>1.5247469164786824</v>
      </c>
      <c r="F227">
        <v>55.631868131868131</v>
      </c>
      <c r="G227">
        <v>7.4000000000000003E-3</v>
      </c>
    </row>
    <row r="228" spans="1:7" x14ac:dyDescent="0.25">
      <c r="A228">
        <v>204</v>
      </c>
      <c r="B228">
        <v>1.2939297789915533E-2</v>
      </c>
      <c r="C228">
        <v>3.8260702210084471E-2</v>
      </c>
      <c r="D228">
        <v>1.1866514418252025</v>
      </c>
      <c r="F228">
        <v>55.906593406593409</v>
      </c>
      <c r="G228">
        <v>7.4999999999999997E-3</v>
      </c>
    </row>
    <row r="229" spans="1:7" x14ac:dyDescent="0.25">
      <c r="A229">
        <v>205</v>
      </c>
      <c r="B229">
        <v>1.6833016162734445E-3</v>
      </c>
      <c r="C229">
        <v>-3.7833016162734444E-3</v>
      </c>
      <c r="D229">
        <v>-0.11733868064311698</v>
      </c>
      <c r="F229">
        <v>56.181318681318686</v>
      </c>
      <c r="G229">
        <v>7.4999999999999997E-3</v>
      </c>
    </row>
    <row r="230" spans="1:7" x14ac:dyDescent="0.25">
      <c r="A230">
        <v>206</v>
      </c>
      <c r="B230">
        <v>1.0408045061871617E-2</v>
      </c>
      <c r="C230">
        <v>-1.908045061871616E-3</v>
      </c>
      <c r="D230">
        <v>-5.9177806285547835E-2</v>
      </c>
      <c r="F230">
        <v>56.456043956043956</v>
      </c>
      <c r="G230">
        <v>7.6E-3</v>
      </c>
    </row>
    <row r="231" spans="1:7" x14ac:dyDescent="0.25">
      <c r="A231">
        <v>207</v>
      </c>
      <c r="B231">
        <v>3.8375592571618824E-3</v>
      </c>
      <c r="C231">
        <v>3.624407428381173E-4</v>
      </c>
      <c r="D231">
        <v>1.1241059500253741E-2</v>
      </c>
      <c r="F231">
        <v>56.730769230769234</v>
      </c>
      <c r="G231">
        <v>7.6E-3</v>
      </c>
    </row>
    <row r="232" spans="1:7" x14ac:dyDescent="0.25">
      <c r="A232">
        <v>208</v>
      </c>
      <c r="B232">
        <v>4.6992623135172574E-3</v>
      </c>
      <c r="C232">
        <v>-4.9926231351725761E-4</v>
      </c>
      <c r="D232">
        <v>-1.5484565362422605E-2</v>
      </c>
      <c r="F232">
        <v>57.005494505494511</v>
      </c>
      <c r="G232">
        <v>7.7999999999999996E-3</v>
      </c>
    </row>
    <row r="233" spans="1:7" x14ac:dyDescent="0.25">
      <c r="A233">
        <v>209</v>
      </c>
      <c r="B233">
        <v>1.1485173882315836E-2</v>
      </c>
      <c r="C233">
        <v>1.1514826117684163E-2</v>
      </c>
      <c r="D233">
        <v>0.35713105681878815</v>
      </c>
      <c r="F233">
        <v>57.280219780219781</v>
      </c>
      <c r="G233">
        <v>8.0999999999999996E-3</v>
      </c>
    </row>
    <row r="234" spans="1:7" x14ac:dyDescent="0.25">
      <c r="A234">
        <v>210</v>
      </c>
      <c r="B234">
        <v>2.0586912415069485E-2</v>
      </c>
      <c r="C234">
        <v>-1.2386912415069484E-2</v>
      </c>
      <c r="D234">
        <v>-0.38417871675210563</v>
      </c>
      <c r="F234">
        <v>57.554945054945058</v>
      </c>
      <c r="G234">
        <v>8.2000000000000007E-3</v>
      </c>
    </row>
    <row r="235" spans="1:7" x14ac:dyDescent="0.25">
      <c r="A235">
        <v>211</v>
      </c>
      <c r="B235">
        <v>-1.2249461989259462E-3</v>
      </c>
      <c r="C235">
        <v>5.2249461989259463E-3</v>
      </c>
      <c r="D235">
        <v>0.16205112771768171</v>
      </c>
      <c r="F235">
        <v>57.829670329670336</v>
      </c>
      <c r="G235">
        <v>8.2000000000000007E-3</v>
      </c>
    </row>
    <row r="236" spans="1:7" x14ac:dyDescent="0.25">
      <c r="A236">
        <v>212</v>
      </c>
      <c r="B236">
        <v>1.2185307615604579E-2</v>
      </c>
      <c r="C236">
        <v>-1.6185307615604577E-2</v>
      </c>
      <c r="D236">
        <v>-0.50198552323954326</v>
      </c>
      <c r="F236">
        <v>58.104395604395606</v>
      </c>
      <c r="G236">
        <v>8.5000000000000006E-3</v>
      </c>
    </row>
    <row r="237" spans="1:7" x14ac:dyDescent="0.25">
      <c r="A237">
        <v>213</v>
      </c>
      <c r="B237">
        <v>1.3316292877071008E-2</v>
      </c>
      <c r="C237">
        <v>-1.1316292877071008E-2</v>
      </c>
      <c r="D237">
        <v>-0.3509735703479378</v>
      </c>
      <c r="F237">
        <v>58.379120879120883</v>
      </c>
      <c r="G237">
        <v>9.1999999999999998E-3</v>
      </c>
    </row>
    <row r="238" spans="1:7" x14ac:dyDescent="0.25">
      <c r="A238">
        <v>214</v>
      </c>
      <c r="B238">
        <v>1.0031049974716141E-2</v>
      </c>
      <c r="C238">
        <v>-1.0031049974716141E-2</v>
      </c>
      <c r="D238">
        <v>-0.31111190406694028</v>
      </c>
      <c r="F238">
        <v>58.653846153846153</v>
      </c>
      <c r="G238">
        <v>9.1999999999999998E-3</v>
      </c>
    </row>
    <row r="239" spans="1:7" x14ac:dyDescent="0.25">
      <c r="A239">
        <v>215</v>
      </c>
      <c r="B239">
        <v>5.4532524878282106E-3</v>
      </c>
      <c r="C239">
        <v>-5.4532524878282106E-3</v>
      </c>
      <c r="D239">
        <v>-0.16913202198397215</v>
      </c>
      <c r="F239">
        <v>58.928571428571431</v>
      </c>
      <c r="G239">
        <v>9.1999999999999998E-3</v>
      </c>
    </row>
    <row r="240" spans="1:7" x14ac:dyDescent="0.25">
      <c r="A240">
        <v>216</v>
      </c>
      <c r="B240">
        <v>6.8535199544056957E-3</v>
      </c>
      <c r="C240">
        <v>5.8846480045594299E-2</v>
      </c>
      <c r="D240">
        <v>1.8251170616005354</v>
      </c>
      <c r="F240">
        <v>59.203296703296708</v>
      </c>
      <c r="G240">
        <v>9.2999999999999992E-3</v>
      </c>
    </row>
    <row r="241" spans="1:7" x14ac:dyDescent="0.25">
      <c r="A241">
        <v>217</v>
      </c>
      <c r="B241">
        <v>7.3920843646278047E-3</v>
      </c>
      <c r="C241">
        <v>2.1007915635372198E-2</v>
      </c>
      <c r="D241">
        <v>0.65155817688798234</v>
      </c>
      <c r="F241">
        <v>59.478021978021978</v>
      </c>
      <c r="G241">
        <v>9.4999999999999998E-3</v>
      </c>
    </row>
    <row r="242" spans="1:7" x14ac:dyDescent="0.25">
      <c r="A242">
        <v>218</v>
      </c>
      <c r="B242">
        <v>5.3993960468059999E-3</v>
      </c>
      <c r="C242">
        <v>3.8006039531939999E-3</v>
      </c>
      <c r="D242">
        <v>0.11787531070654303</v>
      </c>
      <c r="F242">
        <v>59.752747252747255</v>
      </c>
      <c r="G242">
        <v>9.5999999999999992E-3</v>
      </c>
    </row>
    <row r="243" spans="1:7" x14ac:dyDescent="0.25">
      <c r="A243">
        <v>219</v>
      </c>
      <c r="B243">
        <v>1.8987273803622883E-3</v>
      </c>
      <c r="C243">
        <v>9.4001272619637713E-2</v>
      </c>
      <c r="D243">
        <v>2.9154390600310611</v>
      </c>
      <c r="F243">
        <v>60.027472527472533</v>
      </c>
      <c r="G243">
        <v>9.7000000000000003E-3</v>
      </c>
    </row>
    <row r="244" spans="1:7" x14ac:dyDescent="0.25">
      <c r="A244">
        <v>220</v>
      </c>
      <c r="B244">
        <v>4.9685445186283123E-3</v>
      </c>
      <c r="C244">
        <v>-2.1668544518628312E-2</v>
      </c>
      <c r="D244">
        <v>-0.67204750854014983</v>
      </c>
      <c r="F244">
        <v>60.302197802197803</v>
      </c>
      <c r="G244">
        <v>9.9000000000000008E-3</v>
      </c>
    </row>
    <row r="245" spans="1:7" x14ac:dyDescent="0.25">
      <c r="A245">
        <v>221</v>
      </c>
      <c r="B245">
        <v>2.7065739956954526E-3</v>
      </c>
      <c r="C245">
        <v>-1.1206573995695454E-2</v>
      </c>
      <c r="D245">
        <v>-0.34757065139300464</v>
      </c>
      <c r="F245">
        <v>60.57692307692308</v>
      </c>
      <c r="G245">
        <v>9.9000000000000008E-3</v>
      </c>
    </row>
    <row r="246" spans="1:7" x14ac:dyDescent="0.25">
      <c r="A246">
        <v>222</v>
      </c>
      <c r="B246">
        <v>-1.0919105582923918E-2</v>
      </c>
      <c r="C246">
        <v>-5.7480894417076087E-2</v>
      </c>
      <c r="D246">
        <v>-1.7827635745652191</v>
      </c>
      <c r="F246">
        <v>60.851648351648358</v>
      </c>
      <c r="G246">
        <v>1.03E-2</v>
      </c>
    </row>
    <row r="247" spans="1:7" x14ac:dyDescent="0.25">
      <c r="A247">
        <v>223</v>
      </c>
      <c r="B247">
        <v>1.0461901502893828E-2</v>
      </c>
      <c r="C247">
        <v>2.6238098497106177E-2</v>
      </c>
      <c r="D247">
        <v>0.81377171912271562</v>
      </c>
      <c r="F247">
        <v>61.126373626373628</v>
      </c>
      <c r="G247">
        <v>1.09E-2</v>
      </c>
    </row>
    <row r="248" spans="1:7" x14ac:dyDescent="0.25">
      <c r="A248">
        <v>224</v>
      </c>
      <c r="B248">
        <v>7.1388567787364745E-4</v>
      </c>
      <c r="C248">
        <v>-9.5138856778736475E-3</v>
      </c>
      <c r="D248">
        <v>-0.29507211067425893</v>
      </c>
      <c r="F248">
        <v>61.401098901098905</v>
      </c>
      <c r="G248">
        <v>1.12E-2</v>
      </c>
    </row>
    <row r="249" spans="1:7" x14ac:dyDescent="0.25">
      <c r="A249">
        <v>225</v>
      </c>
      <c r="B249">
        <v>2.7911388394090172E-2</v>
      </c>
      <c r="C249">
        <v>-5.0211388394090173E-2</v>
      </c>
      <c r="D249">
        <v>-1.5573006503311846</v>
      </c>
      <c r="F249">
        <v>61.675824175824182</v>
      </c>
      <c r="G249">
        <v>1.12E-2</v>
      </c>
    </row>
    <row r="250" spans="1:7" x14ac:dyDescent="0.25">
      <c r="A250">
        <v>226</v>
      </c>
      <c r="B250">
        <v>2.7604304367176632E-3</v>
      </c>
      <c r="C250">
        <v>-3.4760430436717664E-2</v>
      </c>
      <c r="D250">
        <v>-1.0780909004154056</v>
      </c>
      <c r="F250">
        <v>61.950549450549453</v>
      </c>
      <c r="G250">
        <v>1.1299999999999999E-2</v>
      </c>
    </row>
    <row r="251" spans="1:7" x14ac:dyDescent="0.25">
      <c r="A251">
        <v>227</v>
      </c>
      <c r="B251">
        <v>1.5578263400003867E-2</v>
      </c>
      <c r="C251">
        <v>-1.0878263400003866E-2</v>
      </c>
      <c r="D251">
        <v>-0.33738813462672246</v>
      </c>
      <c r="F251">
        <v>62.22527472527473</v>
      </c>
      <c r="G251">
        <v>1.23E-2</v>
      </c>
    </row>
    <row r="252" spans="1:7" x14ac:dyDescent="0.25">
      <c r="A252">
        <v>228</v>
      </c>
      <c r="B252">
        <v>6.0995297800947416E-3</v>
      </c>
      <c r="C252">
        <v>2.6800470219905257E-2</v>
      </c>
      <c r="D252">
        <v>0.83121361582489783</v>
      </c>
      <c r="F252">
        <v>62.5</v>
      </c>
      <c r="G252">
        <v>1.23E-2</v>
      </c>
    </row>
    <row r="253" spans="1:7" x14ac:dyDescent="0.25">
      <c r="A253">
        <v>229</v>
      </c>
      <c r="B253">
        <v>-8.4795111177047005E-4</v>
      </c>
      <c r="C253">
        <v>2.8147951111770472E-2</v>
      </c>
      <c r="D253">
        <v>0.87300558645794912</v>
      </c>
      <c r="F253">
        <v>62.774725274725277</v>
      </c>
      <c r="G253">
        <v>1.29E-2</v>
      </c>
    </row>
    <row r="254" spans="1:7" x14ac:dyDescent="0.25">
      <c r="A254">
        <v>230</v>
      </c>
      <c r="B254">
        <v>-1.2911793900745721E-2</v>
      </c>
      <c r="C254">
        <v>-3.8820609925427872E-4</v>
      </c>
      <c r="D254">
        <v>-1.2040169176090259E-2</v>
      </c>
      <c r="F254">
        <v>63.049450549450555</v>
      </c>
      <c r="G254">
        <v>1.3100000000000001E-2</v>
      </c>
    </row>
    <row r="255" spans="1:7" x14ac:dyDescent="0.25">
      <c r="A255">
        <v>231</v>
      </c>
      <c r="B255">
        <v>1.3747144405248695E-2</v>
      </c>
      <c r="C255">
        <v>-2.7247144405248697E-2</v>
      </c>
      <c r="D255">
        <v>-0.84506716621593547</v>
      </c>
      <c r="F255">
        <v>63.324175824175825</v>
      </c>
      <c r="G255">
        <v>1.3100000000000001E-2</v>
      </c>
    </row>
    <row r="256" spans="1:7" x14ac:dyDescent="0.25">
      <c r="A256">
        <v>232</v>
      </c>
      <c r="B256">
        <v>-1.5227620864700789E-2</v>
      </c>
      <c r="C256">
        <v>-3.0272379135299211E-2</v>
      </c>
      <c r="D256">
        <v>-0.93889448633574035</v>
      </c>
      <c r="F256">
        <v>63.598901098901102</v>
      </c>
      <c r="G256">
        <v>1.32E-2</v>
      </c>
    </row>
    <row r="257" spans="1:7" x14ac:dyDescent="0.25">
      <c r="A257">
        <v>233</v>
      </c>
      <c r="B257">
        <v>1.0354188620849407E-2</v>
      </c>
      <c r="C257">
        <v>3.9458113791505933E-3</v>
      </c>
      <c r="D257">
        <v>0.12237890294144198</v>
      </c>
      <c r="F257">
        <v>63.873626373626379</v>
      </c>
      <c r="G257">
        <v>1.32E-2</v>
      </c>
    </row>
    <row r="258" spans="1:7" x14ac:dyDescent="0.25">
      <c r="A258">
        <v>234</v>
      </c>
      <c r="B258">
        <v>-3.7023424859476493E-3</v>
      </c>
      <c r="C258">
        <v>6.9402342485947649E-2</v>
      </c>
      <c r="D258">
        <v>2.152505966168321</v>
      </c>
      <c r="F258">
        <v>64.148351648351664</v>
      </c>
      <c r="G258">
        <v>1.3599999999999999E-2</v>
      </c>
    </row>
    <row r="259" spans="1:7" x14ac:dyDescent="0.25">
      <c r="A259">
        <v>235</v>
      </c>
      <c r="B259">
        <v>1.7678664599870095E-2</v>
      </c>
      <c r="C259">
        <v>4.321335400129904E-3</v>
      </c>
      <c r="D259">
        <v>0.13402573886432384</v>
      </c>
      <c r="F259">
        <v>64.423076923076934</v>
      </c>
      <c r="G259">
        <v>1.37E-2</v>
      </c>
    </row>
    <row r="260" spans="1:7" x14ac:dyDescent="0.25">
      <c r="A260">
        <v>236</v>
      </c>
      <c r="B260">
        <v>8.1999309799609694E-3</v>
      </c>
      <c r="C260">
        <v>-1.6799930979960971E-2</v>
      </c>
      <c r="D260">
        <v>-0.52104799881796415</v>
      </c>
      <c r="F260">
        <v>64.697802197802204</v>
      </c>
      <c r="G260">
        <v>1.3899999999999999E-2</v>
      </c>
    </row>
    <row r="261" spans="1:7" x14ac:dyDescent="0.25">
      <c r="A261">
        <v>237</v>
      </c>
      <c r="B261">
        <v>8.2537874209831809E-3</v>
      </c>
      <c r="C261">
        <v>-1.695378742098318E-2</v>
      </c>
      <c r="D261">
        <v>-0.52581983929727916</v>
      </c>
      <c r="F261">
        <v>64.972527472527489</v>
      </c>
      <c r="G261">
        <v>1.43E-2</v>
      </c>
    </row>
    <row r="262" spans="1:7" x14ac:dyDescent="0.25">
      <c r="A262">
        <v>238</v>
      </c>
      <c r="B262">
        <v>5.5609653698726327E-3</v>
      </c>
      <c r="C262">
        <v>7.6390346301273672E-3</v>
      </c>
      <c r="D262">
        <v>0.23692381306070334</v>
      </c>
      <c r="F262">
        <v>65.247252747252759</v>
      </c>
      <c r="G262">
        <v>1.43E-2</v>
      </c>
    </row>
    <row r="263" spans="1:7" x14ac:dyDescent="0.25">
      <c r="A263">
        <v>239</v>
      </c>
      <c r="B263">
        <v>-1.0272828290657387E-2</v>
      </c>
      <c r="C263">
        <v>-3.3027171709342613E-2</v>
      </c>
      <c r="D263">
        <v>-1.0243340729373775</v>
      </c>
      <c r="F263">
        <v>65.521978021978029</v>
      </c>
      <c r="G263">
        <v>1.47E-2</v>
      </c>
    </row>
    <row r="264" spans="1:7" x14ac:dyDescent="0.25">
      <c r="A264">
        <v>240</v>
      </c>
      <c r="B264">
        <v>-1.4150492044256573E-2</v>
      </c>
      <c r="C264">
        <v>4.585049204425657E-2</v>
      </c>
      <c r="D264">
        <v>1.4220479329930185</v>
      </c>
      <c r="F264">
        <v>65.796703296703313</v>
      </c>
      <c r="G264">
        <v>1.55E-2</v>
      </c>
    </row>
    <row r="265" spans="1:7" x14ac:dyDescent="0.25">
      <c r="A265">
        <v>241</v>
      </c>
      <c r="B265">
        <v>2.2687313614935714E-2</v>
      </c>
      <c r="C265">
        <v>2.9912686385064287E-2</v>
      </c>
      <c r="D265">
        <v>0.92773865552174539</v>
      </c>
      <c r="F265">
        <v>66.071428571428584</v>
      </c>
      <c r="G265">
        <v>1.61E-2</v>
      </c>
    </row>
    <row r="266" spans="1:7" x14ac:dyDescent="0.25">
      <c r="A266">
        <v>242</v>
      </c>
      <c r="B266">
        <v>4.0529850212507263E-3</v>
      </c>
      <c r="C266">
        <v>2.0947014978749276E-2</v>
      </c>
      <c r="D266">
        <v>0.64966934976732782</v>
      </c>
      <c r="F266">
        <v>66.346153846153854</v>
      </c>
      <c r="G266">
        <v>1.6199999999999999E-2</v>
      </c>
    </row>
    <row r="267" spans="1:7" x14ac:dyDescent="0.25">
      <c r="A267">
        <v>243</v>
      </c>
      <c r="B267">
        <v>3.245138405917562E-3</v>
      </c>
      <c r="C267">
        <v>-1.1345138405917561E-2</v>
      </c>
      <c r="D267">
        <v>-0.35186821123058604</v>
      </c>
      <c r="F267">
        <v>66.620879120879138</v>
      </c>
      <c r="G267">
        <v>1.6799999999999999E-2</v>
      </c>
    </row>
    <row r="268" spans="1:7" x14ac:dyDescent="0.25">
      <c r="A268">
        <v>244</v>
      </c>
      <c r="B268">
        <v>8.2537874209831809E-3</v>
      </c>
      <c r="C268">
        <v>4.0462125790168193E-3</v>
      </c>
      <c r="D268">
        <v>0.12549283503625949</v>
      </c>
      <c r="F268">
        <v>66.895604395604408</v>
      </c>
      <c r="G268">
        <v>1.7000000000000001E-2</v>
      </c>
    </row>
    <row r="269" spans="1:7" x14ac:dyDescent="0.25">
      <c r="A269">
        <v>245</v>
      </c>
      <c r="B269">
        <v>-5.1564663935473459E-3</v>
      </c>
      <c r="C269">
        <v>9.156466393547346E-3</v>
      </c>
      <c r="D269">
        <v>0.28398679115364256</v>
      </c>
      <c r="F269">
        <v>67.170329670329679</v>
      </c>
      <c r="G269">
        <v>1.7500000000000002E-2</v>
      </c>
    </row>
    <row r="270" spans="1:7" x14ac:dyDescent="0.25">
      <c r="A270">
        <v>246</v>
      </c>
      <c r="B270">
        <v>6.045673339072531E-3</v>
      </c>
      <c r="C270">
        <v>5.0454326660927473E-2</v>
      </c>
      <c r="D270">
        <v>1.5648353537726969</v>
      </c>
      <c r="F270">
        <v>67.445054945054949</v>
      </c>
      <c r="G270">
        <v>1.7500000000000002E-2</v>
      </c>
    </row>
    <row r="271" spans="1:7" x14ac:dyDescent="0.25">
      <c r="A271">
        <v>247</v>
      </c>
      <c r="B271">
        <v>2.0209917327914009E-2</v>
      </c>
      <c r="C271">
        <v>6.4900826720859922E-3</v>
      </c>
      <c r="D271">
        <v>0.20128919532390888</v>
      </c>
      <c r="F271">
        <v>67.719780219780233</v>
      </c>
      <c r="G271">
        <v>1.77E-2</v>
      </c>
    </row>
    <row r="272" spans="1:7" x14ac:dyDescent="0.25">
      <c r="A272">
        <v>248</v>
      </c>
      <c r="B272">
        <v>-7.5261497985246277E-3</v>
      </c>
      <c r="C272">
        <v>-1.8473850201475371E-2</v>
      </c>
      <c r="D272">
        <v>-0.57296441809333842</v>
      </c>
      <c r="F272">
        <v>67.994505494505503</v>
      </c>
      <c r="G272">
        <v>1.8200000000000001E-2</v>
      </c>
    </row>
    <row r="273" spans="1:7" x14ac:dyDescent="0.25">
      <c r="A273">
        <v>249</v>
      </c>
      <c r="B273">
        <v>-4.1331940141253378E-3</v>
      </c>
      <c r="C273">
        <v>1.1733194014125339E-2</v>
      </c>
      <c r="D273">
        <v>0.36390371294353535</v>
      </c>
      <c r="F273">
        <v>68.269230769230774</v>
      </c>
      <c r="G273">
        <v>1.8499999999999999E-2</v>
      </c>
    </row>
    <row r="274" spans="1:7" x14ac:dyDescent="0.25">
      <c r="A274">
        <v>250</v>
      </c>
      <c r="B274">
        <v>1.3962570169337539E-2</v>
      </c>
      <c r="C274">
        <v>-1.7762570169337539E-2</v>
      </c>
      <c r="D274">
        <v>-0.55090414666801757</v>
      </c>
      <c r="F274">
        <v>68.543956043956058</v>
      </c>
      <c r="G274">
        <v>1.89E-2</v>
      </c>
    </row>
    <row r="275" spans="1:7" x14ac:dyDescent="0.25">
      <c r="A275">
        <v>251</v>
      </c>
      <c r="B275">
        <v>-1.6089323921056171E-2</v>
      </c>
      <c r="C275">
        <v>7.6889323921056171E-2</v>
      </c>
      <c r="D275">
        <v>2.3847138662248013</v>
      </c>
      <c r="F275">
        <v>68.818681318681328</v>
      </c>
      <c r="G275">
        <v>1.9E-2</v>
      </c>
    </row>
    <row r="276" spans="1:7" x14ac:dyDescent="0.25">
      <c r="A276">
        <v>252</v>
      </c>
      <c r="B276">
        <v>3.8914156981840931E-3</v>
      </c>
      <c r="C276">
        <v>-2.8991415698184093E-2</v>
      </c>
      <c r="D276">
        <v>-0.89916554719521991</v>
      </c>
      <c r="F276">
        <v>69.093406593406598</v>
      </c>
      <c r="G276">
        <v>1.9300000000000001E-2</v>
      </c>
    </row>
    <row r="277" spans="1:7" x14ac:dyDescent="0.25">
      <c r="A277">
        <v>253</v>
      </c>
      <c r="B277">
        <v>1.2562302702760054E-2</v>
      </c>
      <c r="C277">
        <v>2.4237697297239943E-2</v>
      </c>
      <c r="D277">
        <v>0.75172949744533957</v>
      </c>
      <c r="F277">
        <v>69.368131868131883</v>
      </c>
      <c r="G277">
        <v>1.9300000000000001E-2</v>
      </c>
    </row>
    <row r="278" spans="1:7" x14ac:dyDescent="0.25">
      <c r="A278">
        <v>254</v>
      </c>
      <c r="B278">
        <v>2.2917770867374914E-4</v>
      </c>
      <c r="C278">
        <v>2.1070822291326251E-2</v>
      </c>
      <c r="D278">
        <v>0.6535092198557354</v>
      </c>
      <c r="F278">
        <v>69.642857142857153</v>
      </c>
      <c r="G278">
        <v>1.9699999999999999E-2</v>
      </c>
    </row>
    <row r="279" spans="1:7" x14ac:dyDescent="0.25">
      <c r="A279">
        <v>255</v>
      </c>
      <c r="B279">
        <v>2.921999759784296E-3</v>
      </c>
      <c r="C279">
        <v>-9.8219997597842959E-3</v>
      </c>
      <c r="D279">
        <v>-0.30462823480230877</v>
      </c>
      <c r="F279">
        <v>69.917582417582423</v>
      </c>
      <c r="G279">
        <v>2.0400000000000001E-2</v>
      </c>
    </row>
    <row r="280" spans="1:7" x14ac:dyDescent="0.25">
      <c r="A280">
        <v>256</v>
      </c>
      <c r="B280">
        <v>6.6002923685143681E-4</v>
      </c>
      <c r="C280">
        <v>-6.6002923685143681E-4</v>
      </c>
      <c r="D280">
        <v>-2.047073368533495E-2</v>
      </c>
      <c r="F280">
        <v>70.192307692307708</v>
      </c>
      <c r="G280">
        <v>2.07E-2</v>
      </c>
    </row>
    <row r="281" spans="1:7" x14ac:dyDescent="0.25">
      <c r="A281">
        <v>257</v>
      </c>
      <c r="B281">
        <v>2.8126814158179018E-2</v>
      </c>
      <c r="C281">
        <v>3.8273185841820982E-2</v>
      </c>
      <c r="D281">
        <v>1.1870386202809977</v>
      </c>
      <c r="F281">
        <v>70.467032967032978</v>
      </c>
      <c r="G281">
        <v>2.07E-2</v>
      </c>
    </row>
    <row r="282" spans="1:7" x14ac:dyDescent="0.25">
      <c r="A282">
        <v>258</v>
      </c>
      <c r="B282">
        <v>8.5230696260942349E-3</v>
      </c>
      <c r="C282">
        <v>-1.1823069626094234E-2</v>
      </c>
      <c r="D282">
        <v>-0.36669119509538417</v>
      </c>
      <c r="F282">
        <v>70.741758241758248</v>
      </c>
      <c r="G282">
        <v>2.1299999999999999E-2</v>
      </c>
    </row>
    <row r="283" spans="1:7" x14ac:dyDescent="0.25">
      <c r="A283">
        <v>259</v>
      </c>
      <c r="B283">
        <v>-2.3559314603923765E-3</v>
      </c>
      <c r="C283">
        <v>1.2255931460392378E-2</v>
      </c>
      <c r="D283">
        <v>0.38011635694841489</v>
      </c>
      <c r="F283">
        <v>71.016483516483532</v>
      </c>
      <c r="G283">
        <v>2.1299999999999999E-2</v>
      </c>
    </row>
    <row r="284" spans="1:7" x14ac:dyDescent="0.25">
      <c r="A284">
        <v>260</v>
      </c>
      <c r="B284">
        <v>5.6148218108948433E-3</v>
      </c>
      <c r="C284">
        <v>-2.8414821810894844E-2</v>
      </c>
      <c r="D284">
        <v>-0.88128255163642322</v>
      </c>
      <c r="F284">
        <v>71.291208791208803</v>
      </c>
      <c r="G284">
        <v>2.1700000000000001E-2</v>
      </c>
    </row>
    <row r="285" spans="1:7" x14ac:dyDescent="0.25">
      <c r="A285">
        <v>261</v>
      </c>
      <c r="B285">
        <v>1.4662703902626282E-2</v>
      </c>
      <c r="C285">
        <v>2.2037296097373722E-2</v>
      </c>
      <c r="D285">
        <v>0.68348429791716836</v>
      </c>
      <c r="F285">
        <v>71.565934065934073</v>
      </c>
      <c r="G285">
        <v>2.1999999999999999E-2</v>
      </c>
    </row>
    <row r="286" spans="1:7" x14ac:dyDescent="0.25">
      <c r="A286">
        <v>262</v>
      </c>
      <c r="B286">
        <v>2.0586912415069485E-2</v>
      </c>
      <c r="C286">
        <v>-1.2386912415069484E-2</v>
      </c>
      <c r="D286">
        <v>-0.38417871675210563</v>
      </c>
      <c r="F286">
        <v>71.840659340659357</v>
      </c>
      <c r="G286">
        <v>2.1999999999999999E-2</v>
      </c>
    </row>
    <row r="287" spans="1:7" x14ac:dyDescent="0.25">
      <c r="A287">
        <v>263</v>
      </c>
      <c r="B287">
        <v>-1.2249461989259462E-3</v>
      </c>
      <c r="C287">
        <v>5.2249461989259463E-3</v>
      </c>
      <c r="D287">
        <v>0.16205112771768171</v>
      </c>
      <c r="F287">
        <v>72.115384615384627</v>
      </c>
      <c r="G287">
        <v>2.1999999999999999E-2</v>
      </c>
    </row>
    <row r="288" spans="1:7" x14ac:dyDescent="0.25">
      <c r="A288">
        <v>264</v>
      </c>
      <c r="B288">
        <v>1.2185307615604579E-2</v>
      </c>
      <c r="C288">
        <v>-1.6185307615604577E-2</v>
      </c>
      <c r="D288">
        <v>-0.50198552323954326</v>
      </c>
      <c r="F288">
        <v>72.390109890109898</v>
      </c>
      <c r="G288">
        <v>2.1999999999999999E-2</v>
      </c>
    </row>
    <row r="289" spans="1:7" x14ac:dyDescent="0.25">
      <c r="A289">
        <v>265</v>
      </c>
      <c r="B289">
        <v>1.3316292877071008E-2</v>
      </c>
      <c r="C289">
        <v>-1.1316292877071008E-2</v>
      </c>
      <c r="D289">
        <v>-0.3509735703479378</v>
      </c>
      <c r="F289">
        <v>72.664835164835182</v>
      </c>
      <c r="G289">
        <v>2.23E-2</v>
      </c>
    </row>
    <row r="290" spans="1:7" x14ac:dyDescent="0.25">
      <c r="A290">
        <v>266</v>
      </c>
      <c r="B290">
        <v>1.0031049974716141E-2</v>
      </c>
      <c r="C290">
        <v>-1.0031049974716141E-2</v>
      </c>
      <c r="D290">
        <v>-0.31111190406694028</v>
      </c>
      <c r="F290">
        <v>72.939560439560452</v>
      </c>
      <c r="G290">
        <v>2.23E-2</v>
      </c>
    </row>
    <row r="291" spans="1:7" x14ac:dyDescent="0.25">
      <c r="A291">
        <v>267</v>
      </c>
      <c r="B291">
        <v>5.4532524878282106E-3</v>
      </c>
      <c r="C291">
        <v>-5.4532524878282106E-3</v>
      </c>
      <c r="D291">
        <v>-0.16913202198397215</v>
      </c>
      <c r="F291">
        <v>73.214285714285722</v>
      </c>
      <c r="G291">
        <v>2.2700000000000001E-2</v>
      </c>
    </row>
    <row r="292" spans="1:7" x14ac:dyDescent="0.25">
      <c r="A292">
        <v>268</v>
      </c>
      <c r="B292">
        <v>6.8535199544056957E-3</v>
      </c>
      <c r="C292">
        <v>5.8846480045594299E-2</v>
      </c>
      <c r="D292">
        <v>1.8251170616005354</v>
      </c>
      <c r="F292">
        <v>73.489010989011007</v>
      </c>
      <c r="G292">
        <v>2.3E-2</v>
      </c>
    </row>
    <row r="293" spans="1:7" x14ac:dyDescent="0.25">
      <c r="A293">
        <v>269</v>
      </c>
      <c r="B293">
        <v>7.3920843646278047E-3</v>
      </c>
      <c r="C293">
        <v>2.1007915635372198E-2</v>
      </c>
      <c r="D293">
        <v>0.65155817688798234</v>
      </c>
      <c r="F293">
        <v>73.763736263736277</v>
      </c>
      <c r="G293">
        <v>2.3099999999999999E-2</v>
      </c>
    </row>
    <row r="294" spans="1:7" x14ac:dyDescent="0.25">
      <c r="A294">
        <v>270</v>
      </c>
      <c r="B294">
        <v>5.3993960468059999E-3</v>
      </c>
      <c r="C294">
        <v>3.8006039531939999E-3</v>
      </c>
      <c r="D294">
        <v>0.11787531070654303</v>
      </c>
      <c r="F294">
        <v>74.038461538461547</v>
      </c>
      <c r="G294">
        <v>2.3300000000000001E-2</v>
      </c>
    </row>
    <row r="295" spans="1:7" x14ac:dyDescent="0.25">
      <c r="A295">
        <v>271</v>
      </c>
      <c r="B295">
        <v>1.8987273803622883E-3</v>
      </c>
      <c r="C295">
        <v>9.4001272619637713E-2</v>
      </c>
      <c r="D295">
        <v>2.9154390600310611</v>
      </c>
      <c r="F295">
        <v>74.313186813186817</v>
      </c>
      <c r="G295">
        <v>2.4400000000000002E-2</v>
      </c>
    </row>
    <row r="296" spans="1:7" x14ac:dyDescent="0.25">
      <c r="A296">
        <v>272</v>
      </c>
      <c r="B296">
        <v>4.9685445186283123E-3</v>
      </c>
      <c r="C296">
        <v>-2.1668544518628312E-2</v>
      </c>
      <c r="D296">
        <v>-0.67204750854014983</v>
      </c>
      <c r="F296">
        <v>74.587912087912102</v>
      </c>
      <c r="G296">
        <v>2.47E-2</v>
      </c>
    </row>
    <row r="297" spans="1:7" x14ac:dyDescent="0.25">
      <c r="A297">
        <v>273</v>
      </c>
      <c r="B297">
        <v>2.7065739956954526E-3</v>
      </c>
      <c r="C297">
        <v>-1.1206573995695454E-2</v>
      </c>
      <c r="D297">
        <v>-0.34757065139300464</v>
      </c>
      <c r="F297">
        <v>74.862637362637372</v>
      </c>
      <c r="G297">
        <v>2.47E-2</v>
      </c>
    </row>
    <row r="298" spans="1:7" x14ac:dyDescent="0.25">
      <c r="A298">
        <v>274</v>
      </c>
      <c r="B298">
        <v>-1.0919105582923918E-2</v>
      </c>
      <c r="C298">
        <v>-5.7480894417076087E-2</v>
      </c>
      <c r="D298">
        <v>-1.7827635745652191</v>
      </c>
      <c r="F298">
        <v>75.137362637362642</v>
      </c>
      <c r="G298">
        <v>2.5000000000000001E-2</v>
      </c>
    </row>
    <row r="299" spans="1:7" x14ac:dyDescent="0.25">
      <c r="A299">
        <v>275</v>
      </c>
      <c r="B299">
        <v>1.0461901502893828E-2</v>
      </c>
      <c r="C299">
        <v>2.6238098497106177E-2</v>
      </c>
      <c r="D299">
        <v>0.81377171912271562</v>
      </c>
      <c r="F299">
        <v>75.412087912087927</v>
      </c>
      <c r="G299">
        <v>2.5000000000000001E-2</v>
      </c>
    </row>
    <row r="300" spans="1:7" x14ac:dyDescent="0.25">
      <c r="A300">
        <v>276</v>
      </c>
      <c r="B300">
        <v>7.1388567787364745E-4</v>
      </c>
      <c r="C300">
        <v>-9.5138856778736475E-3</v>
      </c>
      <c r="D300">
        <v>-0.29507211067425893</v>
      </c>
      <c r="F300">
        <v>75.686813186813197</v>
      </c>
      <c r="G300">
        <v>2.5100000000000001E-2</v>
      </c>
    </row>
    <row r="301" spans="1:7" x14ac:dyDescent="0.25">
      <c r="A301">
        <v>277</v>
      </c>
      <c r="B301">
        <v>2.7911388394090172E-2</v>
      </c>
      <c r="C301">
        <v>-5.0211388394090173E-2</v>
      </c>
      <c r="D301">
        <v>-1.5573006503311846</v>
      </c>
      <c r="F301">
        <v>75.961538461538467</v>
      </c>
      <c r="G301">
        <v>2.58E-2</v>
      </c>
    </row>
    <row r="302" spans="1:7" x14ac:dyDescent="0.25">
      <c r="A302">
        <v>278</v>
      </c>
      <c r="B302">
        <v>2.7604304367176632E-3</v>
      </c>
      <c r="C302">
        <v>-3.4760430436717664E-2</v>
      </c>
      <c r="D302">
        <v>-1.0780909004154056</v>
      </c>
      <c r="F302">
        <v>76.236263736263751</v>
      </c>
      <c r="G302">
        <v>2.5999999999999999E-2</v>
      </c>
    </row>
    <row r="303" spans="1:7" x14ac:dyDescent="0.25">
      <c r="A303">
        <v>279</v>
      </c>
      <c r="B303">
        <v>1.5578263400003867E-2</v>
      </c>
      <c r="C303">
        <v>-1.0878263400003866E-2</v>
      </c>
      <c r="D303">
        <v>-0.33738813462672246</v>
      </c>
      <c r="F303">
        <v>76.510989010989022</v>
      </c>
      <c r="G303">
        <v>2.6700000000000002E-2</v>
      </c>
    </row>
    <row r="304" spans="1:7" x14ac:dyDescent="0.25">
      <c r="A304">
        <v>280</v>
      </c>
      <c r="B304">
        <v>6.0995297800947416E-3</v>
      </c>
      <c r="C304">
        <v>2.6800470219905257E-2</v>
      </c>
      <c r="D304">
        <v>0.83121361582489783</v>
      </c>
      <c r="F304">
        <v>76.785714285714292</v>
      </c>
      <c r="G304">
        <v>2.6700000000000002E-2</v>
      </c>
    </row>
    <row r="305" spans="1:7" x14ac:dyDescent="0.25">
      <c r="A305">
        <v>281</v>
      </c>
      <c r="B305">
        <v>-8.4795111177047005E-4</v>
      </c>
      <c r="C305">
        <v>2.8147951111770472E-2</v>
      </c>
      <c r="D305">
        <v>0.87300558645794912</v>
      </c>
      <c r="F305">
        <v>77.060439560439576</v>
      </c>
      <c r="G305">
        <v>2.69E-2</v>
      </c>
    </row>
    <row r="306" spans="1:7" x14ac:dyDescent="0.25">
      <c r="A306">
        <v>282</v>
      </c>
      <c r="B306">
        <v>-1.2911793900745721E-2</v>
      </c>
      <c r="C306">
        <v>-3.8820609925427872E-4</v>
      </c>
      <c r="D306">
        <v>-1.2040169176090259E-2</v>
      </c>
      <c r="F306">
        <v>77.335164835164846</v>
      </c>
      <c r="G306">
        <v>2.7300000000000001E-2</v>
      </c>
    </row>
    <row r="307" spans="1:7" x14ac:dyDescent="0.25">
      <c r="A307">
        <v>283</v>
      </c>
      <c r="B307">
        <v>1.3747144405248695E-2</v>
      </c>
      <c r="C307">
        <v>-2.7247144405248697E-2</v>
      </c>
      <c r="D307">
        <v>-0.84506716621593547</v>
      </c>
      <c r="F307">
        <v>77.609890109890117</v>
      </c>
      <c r="G307">
        <v>2.7300000000000001E-2</v>
      </c>
    </row>
    <row r="308" spans="1:7" x14ac:dyDescent="0.25">
      <c r="A308">
        <v>284</v>
      </c>
      <c r="B308">
        <v>-1.5227620864700789E-2</v>
      </c>
      <c r="C308">
        <v>-3.0272379135299211E-2</v>
      </c>
      <c r="D308">
        <v>-0.93889448633574035</v>
      </c>
      <c r="F308">
        <v>77.884615384615401</v>
      </c>
      <c r="G308">
        <v>2.7300000000000001E-2</v>
      </c>
    </row>
    <row r="309" spans="1:7" x14ac:dyDescent="0.25">
      <c r="A309">
        <v>285</v>
      </c>
      <c r="B309">
        <v>1.0354188620849407E-2</v>
      </c>
      <c r="C309">
        <v>3.9458113791505933E-3</v>
      </c>
      <c r="D309">
        <v>0.12237890294144198</v>
      </c>
      <c r="F309">
        <v>78.159340659340671</v>
      </c>
      <c r="G309">
        <v>2.8400000000000002E-2</v>
      </c>
    </row>
    <row r="310" spans="1:7" x14ac:dyDescent="0.25">
      <c r="A310">
        <v>286</v>
      </c>
      <c r="B310">
        <v>-3.7023424859476493E-3</v>
      </c>
      <c r="C310">
        <v>6.9402342485947649E-2</v>
      </c>
      <c r="D310">
        <v>2.152505966168321</v>
      </c>
      <c r="F310">
        <v>78.434065934065941</v>
      </c>
      <c r="G310">
        <v>2.8400000000000002E-2</v>
      </c>
    </row>
    <row r="311" spans="1:7" x14ac:dyDescent="0.25">
      <c r="A311">
        <v>287</v>
      </c>
      <c r="B311">
        <v>1.7678664599870095E-2</v>
      </c>
      <c r="C311">
        <v>4.321335400129904E-3</v>
      </c>
      <c r="D311">
        <v>0.13402573886432384</v>
      </c>
      <c r="F311">
        <v>78.708791208791226</v>
      </c>
      <c r="G311">
        <v>2.8500000000000001E-2</v>
      </c>
    </row>
    <row r="312" spans="1:7" x14ac:dyDescent="0.25">
      <c r="A312">
        <v>288</v>
      </c>
      <c r="B312">
        <v>8.1999309799609694E-3</v>
      </c>
      <c r="C312">
        <v>-1.6799930979960971E-2</v>
      </c>
      <c r="D312">
        <v>-0.52104799881796415</v>
      </c>
      <c r="F312">
        <v>78.983516483516496</v>
      </c>
      <c r="G312">
        <v>2.87E-2</v>
      </c>
    </row>
    <row r="313" spans="1:7" x14ac:dyDescent="0.25">
      <c r="A313">
        <v>289</v>
      </c>
      <c r="B313">
        <v>8.2537874209831809E-3</v>
      </c>
      <c r="C313">
        <v>-1.695378742098318E-2</v>
      </c>
      <c r="D313">
        <v>-0.52581983929727916</v>
      </c>
      <c r="F313">
        <v>79.258241758241766</v>
      </c>
      <c r="G313">
        <v>2.9100000000000001E-2</v>
      </c>
    </row>
    <row r="314" spans="1:7" x14ac:dyDescent="0.25">
      <c r="A314">
        <v>290</v>
      </c>
      <c r="B314">
        <v>5.5609653698726327E-3</v>
      </c>
      <c r="C314">
        <v>7.6390346301273672E-3</v>
      </c>
      <c r="D314">
        <v>0.23692381306070334</v>
      </c>
      <c r="F314">
        <v>79.532967032967051</v>
      </c>
      <c r="G314">
        <v>2.93E-2</v>
      </c>
    </row>
    <row r="315" spans="1:7" x14ac:dyDescent="0.25">
      <c r="A315">
        <v>291</v>
      </c>
      <c r="B315">
        <v>-1.0272828290657387E-2</v>
      </c>
      <c r="C315">
        <v>-3.3027171709342613E-2</v>
      </c>
      <c r="D315">
        <v>-1.0243340729373775</v>
      </c>
      <c r="F315">
        <v>79.807692307692321</v>
      </c>
      <c r="G315">
        <v>2.98E-2</v>
      </c>
    </row>
    <row r="316" spans="1:7" x14ac:dyDescent="0.25">
      <c r="A316">
        <v>292</v>
      </c>
      <c r="B316">
        <v>-1.4150492044256573E-2</v>
      </c>
      <c r="C316">
        <v>4.585049204425657E-2</v>
      </c>
      <c r="D316">
        <v>1.4220479329930185</v>
      </c>
      <c r="F316">
        <v>80.082417582417591</v>
      </c>
      <c r="G316">
        <v>3.0099999999999998E-2</v>
      </c>
    </row>
    <row r="317" spans="1:7" x14ac:dyDescent="0.25">
      <c r="A317">
        <v>293</v>
      </c>
      <c r="B317">
        <v>2.2687313614935714E-2</v>
      </c>
      <c r="C317">
        <v>2.9912686385064287E-2</v>
      </c>
      <c r="D317">
        <v>0.92773865552174539</v>
      </c>
      <c r="F317">
        <v>80.357142857142875</v>
      </c>
      <c r="G317">
        <v>3.1300000000000001E-2</v>
      </c>
    </row>
    <row r="318" spans="1:7" x14ac:dyDescent="0.25">
      <c r="A318">
        <v>294</v>
      </c>
      <c r="B318">
        <v>4.0529850212507263E-3</v>
      </c>
      <c r="C318">
        <v>2.0947014978749276E-2</v>
      </c>
      <c r="D318">
        <v>0.64966934976732782</v>
      </c>
      <c r="F318">
        <v>80.631868131868146</v>
      </c>
      <c r="G318">
        <v>3.1699999999999999E-2</v>
      </c>
    </row>
    <row r="319" spans="1:7" x14ac:dyDescent="0.25">
      <c r="A319">
        <v>295</v>
      </c>
      <c r="B319">
        <v>3.245138405917562E-3</v>
      </c>
      <c r="C319">
        <v>-1.1345138405917561E-2</v>
      </c>
      <c r="D319">
        <v>-0.35186821123058604</v>
      </c>
      <c r="F319">
        <v>80.906593406593416</v>
      </c>
      <c r="G319">
        <v>3.1699999999999999E-2</v>
      </c>
    </row>
    <row r="320" spans="1:7" x14ac:dyDescent="0.25">
      <c r="A320">
        <v>296</v>
      </c>
      <c r="B320">
        <v>8.2537874209831809E-3</v>
      </c>
      <c r="C320">
        <v>4.0462125790168193E-3</v>
      </c>
      <c r="D320">
        <v>0.12549283503625949</v>
      </c>
      <c r="F320">
        <v>81.181318681318686</v>
      </c>
      <c r="G320">
        <v>3.2199999999999999E-2</v>
      </c>
    </row>
    <row r="321" spans="1:7" x14ac:dyDescent="0.25">
      <c r="A321">
        <v>297</v>
      </c>
      <c r="B321">
        <v>-5.1564663935473459E-3</v>
      </c>
      <c r="C321">
        <v>9.156466393547346E-3</v>
      </c>
      <c r="D321">
        <v>0.28398679115364256</v>
      </c>
      <c r="F321">
        <v>81.45604395604397</v>
      </c>
      <c r="G321">
        <v>3.27E-2</v>
      </c>
    </row>
    <row r="322" spans="1:7" x14ac:dyDescent="0.25">
      <c r="A322">
        <v>298</v>
      </c>
      <c r="B322">
        <v>6.045673339072531E-3</v>
      </c>
      <c r="C322">
        <v>5.0454326660927473E-2</v>
      </c>
      <c r="D322">
        <v>1.5648353537726969</v>
      </c>
      <c r="F322">
        <v>81.730769230769241</v>
      </c>
      <c r="G322">
        <v>3.2899999999999999E-2</v>
      </c>
    </row>
    <row r="323" spans="1:7" x14ac:dyDescent="0.25">
      <c r="A323">
        <v>299</v>
      </c>
      <c r="B323">
        <v>2.0209917327914009E-2</v>
      </c>
      <c r="C323">
        <v>6.4900826720859922E-3</v>
      </c>
      <c r="D323">
        <v>0.20128919532390888</v>
      </c>
      <c r="F323">
        <v>82.005494505494511</v>
      </c>
      <c r="G323">
        <v>3.2899999999999999E-2</v>
      </c>
    </row>
    <row r="324" spans="1:7" x14ac:dyDescent="0.25">
      <c r="A324">
        <v>300</v>
      </c>
      <c r="B324">
        <v>-7.5261497985246277E-3</v>
      </c>
      <c r="C324">
        <v>-1.8473850201475371E-2</v>
      </c>
      <c r="D324">
        <v>-0.57296441809333842</v>
      </c>
      <c r="F324">
        <v>82.280219780219795</v>
      </c>
      <c r="G324">
        <v>3.3799999999999997E-2</v>
      </c>
    </row>
    <row r="325" spans="1:7" x14ac:dyDescent="0.25">
      <c r="A325">
        <v>301</v>
      </c>
      <c r="B325">
        <v>-4.1331940141253378E-3</v>
      </c>
      <c r="C325">
        <v>1.1733194014125339E-2</v>
      </c>
      <c r="D325">
        <v>0.36390371294353535</v>
      </c>
      <c r="F325">
        <v>82.554945054945065</v>
      </c>
      <c r="G325">
        <v>3.4700000000000002E-2</v>
      </c>
    </row>
    <row r="326" spans="1:7" x14ac:dyDescent="0.25">
      <c r="A326">
        <v>302</v>
      </c>
      <c r="B326">
        <v>1.3962570169337539E-2</v>
      </c>
      <c r="C326">
        <v>-1.7762570169337539E-2</v>
      </c>
      <c r="D326">
        <v>-0.55090414666801757</v>
      </c>
      <c r="F326">
        <v>82.829670329670336</v>
      </c>
      <c r="G326">
        <v>3.5299999999999998E-2</v>
      </c>
    </row>
    <row r="327" spans="1:7" x14ac:dyDescent="0.25">
      <c r="A327">
        <v>303</v>
      </c>
      <c r="B327">
        <v>-1.6089323921056171E-2</v>
      </c>
      <c r="C327">
        <v>7.6889323921056171E-2</v>
      </c>
      <c r="D327">
        <v>2.3847138662248013</v>
      </c>
      <c r="F327">
        <v>83.10439560439562</v>
      </c>
      <c r="G327">
        <v>3.5499999999999997E-2</v>
      </c>
    </row>
    <row r="328" spans="1:7" x14ac:dyDescent="0.25">
      <c r="A328">
        <v>304</v>
      </c>
      <c r="B328">
        <v>3.8914156981840931E-3</v>
      </c>
      <c r="C328">
        <v>-2.8991415698184093E-2</v>
      </c>
      <c r="D328">
        <v>-0.89916554719521991</v>
      </c>
      <c r="F328">
        <v>83.37912087912089</v>
      </c>
      <c r="G328">
        <v>3.5499999999999997E-2</v>
      </c>
    </row>
    <row r="329" spans="1:7" x14ac:dyDescent="0.25">
      <c r="A329">
        <v>305</v>
      </c>
      <c r="B329">
        <v>1.2562302702760054E-2</v>
      </c>
      <c r="C329">
        <v>2.4237697297239943E-2</v>
      </c>
      <c r="D329">
        <v>0.75172949744533957</v>
      </c>
      <c r="F329">
        <v>83.65384615384616</v>
      </c>
      <c r="G329">
        <v>3.6700000000000003E-2</v>
      </c>
    </row>
    <row r="330" spans="1:7" x14ac:dyDescent="0.25">
      <c r="A330">
        <v>306</v>
      </c>
      <c r="B330">
        <v>2.2917770867374914E-4</v>
      </c>
      <c r="C330">
        <v>2.1070822291326251E-2</v>
      </c>
      <c r="D330">
        <v>0.6535092198557354</v>
      </c>
      <c r="F330">
        <v>83.928571428571445</v>
      </c>
      <c r="G330">
        <v>3.6700000000000003E-2</v>
      </c>
    </row>
    <row r="331" spans="1:7" x14ac:dyDescent="0.25">
      <c r="A331">
        <v>307</v>
      </c>
      <c r="B331">
        <v>2.921999759784296E-3</v>
      </c>
      <c r="C331">
        <v>-9.8219997597842959E-3</v>
      </c>
      <c r="D331">
        <v>-0.30462823480230877</v>
      </c>
      <c r="F331">
        <v>84.203296703296715</v>
      </c>
      <c r="G331">
        <v>3.6700000000000003E-2</v>
      </c>
    </row>
    <row r="332" spans="1:7" x14ac:dyDescent="0.25">
      <c r="A332">
        <v>308</v>
      </c>
      <c r="B332">
        <v>6.6002923685143681E-4</v>
      </c>
      <c r="C332">
        <v>-6.6002923685143681E-4</v>
      </c>
      <c r="D332">
        <v>-2.047073368533495E-2</v>
      </c>
      <c r="F332">
        <v>84.478021978021985</v>
      </c>
      <c r="G332">
        <v>3.6700000000000003E-2</v>
      </c>
    </row>
    <row r="333" spans="1:7" x14ac:dyDescent="0.25">
      <c r="A333">
        <v>309</v>
      </c>
      <c r="B333">
        <v>2.8126814158179018E-2</v>
      </c>
      <c r="C333">
        <v>3.8273185841820982E-2</v>
      </c>
      <c r="D333">
        <v>1.1870386202809977</v>
      </c>
      <c r="F333">
        <v>84.75274725274727</v>
      </c>
      <c r="G333">
        <v>3.6799999999999999E-2</v>
      </c>
    </row>
    <row r="334" spans="1:7" x14ac:dyDescent="0.25">
      <c r="A334">
        <v>310</v>
      </c>
      <c r="B334">
        <v>8.5230696260942349E-3</v>
      </c>
      <c r="C334">
        <v>-1.1823069626094234E-2</v>
      </c>
      <c r="D334">
        <v>-0.36669119509538417</v>
      </c>
      <c r="F334">
        <v>85.02747252747254</v>
      </c>
      <c r="G334">
        <v>3.6799999999999999E-2</v>
      </c>
    </row>
    <row r="335" spans="1:7" x14ac:dyDescent="0.25">
      <c r="A335">
        <v>311</v>
      </c>
      <c r="B335">
        <v>-2.3559314603923765E-3</v>
      </c>
      <c r="C335">
        <v>1.2255931460392378E-2</v>
      </c>
      <c r="D335">
        <v>0.38011635694841489</v>
      </c>
      <c r="F335">
        <v>85.30219780219781</v>
      </c>
      <c r="G335">
        <v>0.04</v>
      </c>
    </row>
    <row r="336" spans="1:7" x14ac:dyDescent="0.25">
      <c r="A336">
        <v>312</v>
      </c>
      <c r="B336">
        <v>5.6148218108948433E-3</v>
      </c>
      <c r="C336">
        <v>-2.8414821810894844E-2</v>
      </c>
      <c r="D336">
        <v>-0.88128255163642322</v>
      </c>
      <c r="F336">
        <v>85.576923076923094</v>
      </c>
      <c r="G336">
        <v>0.04</v>
      </c>
    </row>
    <row r="337" spans="1:7" x14ac:dyDescent="0.25">
      <c r="A337">
        <v>313</v>
      </c>
      <c r="B337">
        <v>1.4662703902626282E-2</v>
      </c>
      <c r="C337">
        <v>2.2037296097373722E-2</v>
      </c>
      <c r="D337">
        <v>0.68348429791716836</v>
      </c>
      <c r="F337">
        <v>85.851648351648365</v>
      </c>
      <c r="G337">
        <v>4.02E-2</v>
      </c>
    </row>
    <row r="338" spans="1:7" x14ac:dyDescent="0.25">
      <c r="A338">
        <v>314</v>
      </c>
      <c r="B338">
        <v>9.9233370926717183E-3</v>
      </c>
      <c r="C338">
        <v>6.1766629073282814E-3</v>
      </c>
      <c r="D338">
        <v>0.19156851602994063</v>
      </c>
      <c r="F338">
        <v>86.126373626373635</v>
      </c>
      <c r="G338">
        <v>4.0599999999999997E-2</v>
      </c>
    </row>
    <row r="339" spans="1:7" x14ac:dyDescent="0.25">
      <c r="A339">
        <v>315</v>
      </c>
      <c r="B339">
        <v>1.1269748118226992E-2</v>
      </c>
      <c r="C339">
        <v>-1.7697481182269922E-3</v>
      </c>
      <c r="D339">
        <v>-5.488854189424619E-2</v>
      </c>
      <c r="F339">
        <v>86.401098901098919</v>
      </c>
      <c r="G339">
        <v>4.2000000000000003E-2</v>
      </c>
    </row>
    <row r="340" spans="1:7" x14ac:dyDescent="0.25">
      <c r="A340">
        <v>316</v>
      </c>
      <c r="B340">
        <v>1.0677327266982672E-2</v>
      </c>
      <c r="C340">
        <v>-2.6377327266982671E-2</v>
      </c>
      <c r="D340">
        <v>-0.81808988400140259</v>
      </c>
      <c r="F340">
        <v>86.675824175824189</v>
      </c>
      <c r="G340">
        <v>4.2700000000000002E-2</v>
      </c>
    </row>
    <row r="341" spans="1:7" x14ac:dyDescent="0.25">
      <c r="A341">
        <v>317</v>
      </c>
      <c r="B341">
        <v>5.6148218108948433E-3</v>
      </c>
      <c r="C341">
        <v>1.6685178189105157E-2</v>
      </c>
      <c r="D341">
        <v>0.5174889537179862</v>
      </c>
      <c r="F341">
        <v>86.95054945054946</v>
      </c>
      <c r="G341">
        <v>4.2900000000000001E-2</v>
      </c>
    </row>
    <row r="342" spans="1:7" x14ac:dyDescent="0.25">
      <c r="A342">
        <v>318</v>
      </c>
      <c r="B342">
        <v>6.7458070723612727E-3</v>
      </c>
      <c r="C342">
        <v>2.5541929276387265E-3</v>
      </c>
      <c r="D342">
        <v>7.921801078400903E-2</v>
      </c>
      <c r="F342">
        <v>87.225274725274744</v>
      </c>
      <c r="G342">
        <v>4.3799999999999999E-2</v>
      </c>
    </row>
    <row r="343" spans="1:7" x14ac:dyDescent="0.25">
      <c r="A343">
        <v>319</v>
      </c>
      <c r="B343">
        <v>1.9832922240758534E-2</v>
      </c>
      <c r="C343">
        <v>4.8670777592414657E-3</v>
      </c>
      <c r="D343">
        <v>0.15095187769337362</v>
      </c>
      <c r="F343">
        <v>87.500000000000014</v>
      </c>
      <c r="G343">
        <v>4.4299999999999999E-2</v>
      </c>
    </row>
    <row r="344" spans="1:7" x14ac:dyDescent="0.25">
      <c r="A344">
        <v>320</v>
      </c>
      <c r="B344">
        <v>8.4153567440498137E-3</v>
      </c>
      <c r="C344">
        <v>-1.4415356744049814E-2</v>
      </c>
      <c r="D344">
        <v>-0.44709069297329035</v>
      </c>
      <c r="F344">
        <v>87.774725274725284</v>
      </c>
      <c r="G344">
        <v>4.48E-2</v>
      </c>
    </row>
    <row r="345" spans="1:7" x14ac:dyDescent="0.25">
      <c r="A345">
        <v>321</v>
      </c>
      <c r="B345">
        <v>3.3689059071817084E-4</v>
      </c>
      <c r="C345">
        <v>5.7631094092818295E-3</v>
      </c>
      <c r="D345">
        <v>0.17874220008743472</v>
      </c>
      <c r="F345">
        <v>88.049450549450555</v>
      </c>
      <c r="G345">
        <v>4.5199999999999997E-2</v>
      </c>
    </row>
    <row r="346" spans="1:7" x14ac:dyDescent="0.25">
      <c r="A346">
        <v>322</v>
      </c>
      <c r="B346">
        <v>1.0354188620849407E-2</v>
      </c>
      <c r="C346">
        <v>-7.6654188620849412E-2</v>
      </c>
      <c r="D346">
        <v>-2.3774211709291877</v>
      </c>
      <c r="F346">
        <v>88.324175824175839</v>
      </c>
      <c r="G346">
        <v>4.6199999999999998E-2</v>
      </c>
    </row>
    <row r="347" spans="1:7" x14ac:dyDescent="0.25">
      <c r="A347">
        <v>323</v>
      </c>
      <c r="B347">
        <v>2.5703274312179523E-2</v>
      </c>
      <c r="C347">
        <v>9.7967256878204734E-3</v>
      </c>
      <c r="D347">
        <v>0.30384436225935374</v>
      </c>
      <c r="F347">
        <v>88.598901098901109</v>
      </c>
      <c r="G347">
        <v>4.6800000000000001E-2</v>
      </c>
    </row>
    <row r="348" spans="1:7" x14ac:dyDescent="0.25">
      <c r="A348">
        <v>324</v>
      </c>
      <c r="B348">
        <v>4.9146880776061008E-3</v>
      </c>
      <c r="C348">
        <v>-1.11146880776061E-2</v>
      </c>
      <c r="D348">
        <v>-0.34472081981946318</v>
      </c>
      <c r="F348">
        <v>88.873626373626379</v>
      </c>
      <c r="G348">
        <v>4.7500000000000001E-2</v>
      </c>
    </row>
    <row r="349" spans="1:7" x14ac:dyDescent="0.25">
      <c r="A349">
        <v>325</v>
      </c>
      <c r="B349">
        <v>1.6009114928181557E-2</v>
      </c>
      <c r="C349">
        <v>9.0908850718184435E-3</v>
      </c>
      <c r="D349">
        <v>0.28195279372309118</v>
      </c>
      <c r="F349">
        <v>89.148351648351664</v>
      </c>
      <c r="G349">
        <v>4.8500000000000001E-2</v>
      </c>
    </row>
    <row r="350" spans="1:7" x14ac:dyDescent="0.25">
      <c r="A350">
        <v>326</v>
      </c>
      <c r="B350">
        <v>-3.9086024237540241E-2</v>
      </c>
      <c r="C350">
        <v>-1.5913975762459759E-2</v>
      </c>
      <c r="D350">
        <v>-0.49357019586318007</v>
      </c>
      <c r="F350">
        <v>89.423076923076934</v>
      </c>
      <c r="G350">
        <v>4.9099999999999998E-2</v>
      </c>
    </row>
    <row r="351" spans="1:7" x14ac:dyDescent="0.25">
      <c r="A351">
        <v>327</v>
      </c>
      <c r="B351">
        <v>-1.2788026399481577E-3</v>
      </c>
      <c r="C351">
        <v>-2.3921197360051841E-2</v>
      </c>
      <c r="D351">
        <v>-0.7419132869445596</v>
      </c>
      <c r="F351">
        <v>89.697802197802204</v>
      </c>
      <c r="G351">
        <v>4.9200000000000001E-2</v>
      </c>
    </row>
    <row r="352" spans="1:7" x14ac:dyDescent="0.25">
      <c r="A352">
        <v>328</v>
      </c>
      <c r="B352">
        <v>2.4033724640490986E-2</v>
      </c>
      <c r="C352">
        <v>-3.4633724640490984E-2</v>
      </c>
      <c r="D352">
        <v>-1.0741611341775981</v>
      </c>
      <c r="F352">
        <v>89.972527472527489</v>
      </c>
      <c r="G352">
        <v>5.0999999999999997E-2</v>
      </c>
    </row>
    <row r="353" spans="1:7" x14ac:dyDescent="0.25">
      <c r="A353">
        <v>329</v>
      </c>
      <c r="B353">
        <v>2.4572289050713098E-2</v>
      </c>
      <c r="C353">
        <v>-4.0672289050713101E-2</v>
      </c>
      <c r="D353">
        <v>-1.2614465406136501</v>
      </c>
      <c r="F353">
        <v>90.247252747252759</v>
      </c>
      <c r="G353">
        <v>5.1200000000000002E-2</v>
      </c>
    </row>
    <row r="354" spans="1:7" x14ac:dyDescent="0.25">
      <c r="A354">
        <v>330</v>
      </c>
      <c r="B354">
        <v>1.0246475738804984E-2</v>
      </c>
      <c r="C354">
        <v>4.8453524261195022E-2</v>
      </c>
      <c r="D354">
        <v>1.5027806889259014</v>
      </c>
      <c r="F354">
        <v>90.521978021978029</v>
      </c>
      <c r="G354">
        <v>5.2600000000000001E-2</v>
      </c>
    </row>
    <row r="355" spans="1:7" x14ac:dyDescent="0.25">
      <c r="A355">
        <v>331</v>
      </c>
      <c r="B355">
        <v>1.1377461000271413E-2</v>
      </c>
      <c r="C355">
        <v>6.3322538999728589E-2</v>
      </c>
      <c r="D355">
        <v>1.9639415343572872</v>
      </c>
      <c r="F355">
        <v>90.796703296703313</v>
      </c>
      <c r="G355">
        <v>5.2600000000000001E-2</v>
      </c>
    </row>
    <row r="356" spans="1:7" x14ac:dyDescent="0.25">
      <c r="A356">
        <v>332</v>
      </c>
      <c r="B356">
        <v>2.0263773768936219E-2</v>
      </c>
      <c r="C356">
        <v>2.6536226231063782E-2</v>
      </c>
      <c r="D356">
        <v>0.82301811777495015</v>
      </c>
      <c r="F356">
        <v>91.071428571428584</v>
      </c>
      <c r="G356">
        <v>5.4199999999999998E-2</v>
      </c>
    </row>
    <row r="357" spans="1:7" x14ac:dyDescent="0.25">
      <c r="A357">
        <v>333</v>
      </c>
      <c r="B357">
        <v>3.245138405917562E-3</v>
      </c>
      <c r="C357">
        <v>-1.2445138405917561E-2</v>
      </c>
      <c r="D357">
        <v>-0.38598458940996189</v>
      </c>
      <c r="F357">
        <v>91.346153846153854</v>
      </c>
      <c r="G357">
        <v>5.4600000000000003E-2</v>
      </c>
    </row>
    <row r="358" spans="1:7" x14ac:dyDescent="0.25">
      <c r="A358">
        <v>334</v>
      </c>
      <c r="B358">
        <v>1.2400733379693423E-2</v>
      </c>
      <c r="C358">
        <v>-7.8007333796934232E-3</v>
      </c>
      <c r="D358">
        <v>-0.24193888187100129</v>
      </c>
      <c r="F358">
        <v>91.620879120879138</v>
      </c>
      <c r="G358">
        <v>5.5300000000000002E-2</v>
      </c>
    </row>
    <row r="359" spans="1:7" x14ac:dyDescent="0.25">
      <c r="A359">
        <v>335</v>
      </c>
      <c r="B359">
        <v>7.2305150415611719E-3</v>
      </c>
      <c r="C359">
        <v>-2.223051504156117E-2</v>
      </c>
      <c r="D359">
        <v>-0.68947696207291265</v>
      </c>
      <c r="F359">
        <v>91.895604395604408</v>
      </c>
      <c r="G359">
        <v>5.6500000000000002E-2</v>
      </c>
    </row>
    <row r="360" spans="1:7" x14ac:dyDescent="0.25">
      <c r="A360">
        <v>336</v>
      </c>
      <c r="B360">
        <v>1.6294451752512334E-3</v>
      </c>
      <c r="C360">
        <v>-1.4529445175251234E-2</v>
      </c>
      <c r="D360">
        <v>-0.45062913303216251</v>
      </c>
      <c r="F360">
        <v>92.170329670329679</v>
      </c>
      <c r="G360">
        <v>5.6500000000000002E-2</v>
      </c>
    </row>
    <row r="361" spans="1:7" x14ac:dyDescent="0.25">
      <c r="A361">
        <v>337</v>
      </c>
      <c r="B361">
        <v>-6.0181694499027213E-3</v>
      </c>
      <c r="C361">
        <v>4.151816944990272E-2</v>
      </c>
      <c r="D361">
        <v>1.2876814275166271</v>
      </c>
      <c r="F361">
        <v>92.445054945054963</v>
      </c>
      <c r="G361">
        <v>5.6500000000000002E-2</v>
      </c>
    </row>
    <row r="362" spans="1:7" x14ac:dyDescent="0.25">
      <c r="A362">
        <v>338</v>
      </c>
      <c r="B362">
        <v>2.6187982281379425E-2</v>
      </c>
      <c r="C362">
        <v>5.2712017718620573E-2</v>
      </c>
      <c r="D362">
        <v>1.6348573918967448</v>
      </c>
      <c r="F362">
        <v>92.719780219780233</v>
      </c>
      <c r="G362">
        <v>5.7200000000000001E-2</v>
      </c>
    </row>
    <row r="363" spans="1:7" x14ac:dyDescent="0.25">
      <c r="A363">
        <v>339</v>
      </c>
      <c r="B363">
        <v>1.5578263400003867E-2</v>
      </c>
      <c r="C363">
        <v>-1.9778263400003868E-2</v>
      </c>
      <c r="D363">
        <v>-0.613420648987127</v>
      </c>
      <c r="F363">
        <v>92.994505494505503</v>
      </c>
      <c r="G363">
        <v>5.8700000000000002E-2</v>
      </c>
    </row>
    <row r="364" spans="1:7" x14ac:dyDescent="0.25">
      <c r="A364">
        <v>340</v>
      </c>
      <c r="B364">
        <v>1.5578263400003867E-2</v>
      </c>
      <c r="C364">
        <v>-3.1578263400003866E-2</v>
      </c>
      <c r="D364">
        <v>-0.97939634218406779</v>
      </c>
      <c r="F364">
        <v>93.269230769230788</v>
      </c>
      <c r="G364">
        <v>5.9299999999999999E-2</v>
      </c>
    </row>
    <row r="365" spans="1:7" x14ac:dyDescent="0.25">
      <c r="A365">
        <v>341</v>
      </c>
      <c r="B365">
        <v>1.0731183708004882E-2</v>
      </c>
      <c r="C365">
        <v>-2.1531183708004883E-2</v>
      </c>
      <c r="D365">
        <v>-0.66778727821082751</v>
      </c>
      <c r="F365">
        <v>93.543956043956058</v>
      </c>
      <c r="G365">
        <v>0.06</v>
      </c>
    </row>
    <row r="366" spans="1:7" x14ac:dyDescent="0.25">
      <c r="A366">
        <v>342</v>
      </c>
      <c r="B366">
        <v>-7.9409467074825942E-4</v>
      </c>
      <c r="C366">
        <v>2.8094094670748262E-2</v>
      </c>
      <c r="D366">
        <v>0.87133523490403186</v>
      </c>
      <c r="F366">
        <v>93.818681318681328</v>
      </c>
      <c r="G366">
        <v>6.08E-2</v>
      </c>
    </row>
    <row r="367" spans="1:7" x14ac:dyDescent="0.25">
      <c r="A367">
        <v>343</v>
      </c>
      <c r="B367">
        <v>1.4140194111623896E-3</v>
      </c>
      <c r="C367">
        <v>-1.201401941116239E-2</v>
      </c>
      <c r="D367">
        <v>-0.37261348153234392</v>
      </c>
      <c r="F367">
        <v>94.093406593406613</v>
      </c>
      <c r="G367">
        <v>6.08E-2</v>
      </c>
    </row>
    <row r="368" spans="1:7" x14ac:dyDescent="0.25">
      <c r="A368">
        <v>344</v>
      </c>
      <c r="B368">
        <v>3.4051022670622225E-2</v>
      </c>
      <c r="C368">
        <v>-2.7551022670622226E-2</v>
      </c>
      <c r="D368">
        <v>-0.85449191696318649</v>
      </c>
      <c r="F368">
        <v>94.368131868131883</v>
      </c>
      <c r="G368">
        <v>6.1899999999999997E-2</v>
      </c>
    </row>
    <row r="369" spans="1:7" x14ac:dyDescent="0.25">
      <c r="A369">
        <v>345</v>
      </c>
      <c r="B369">
        <v>1.8378798333158836E-2</v>
      </c>
      <c r="C369">
        <v>2.5421201666841163E-2</v>
      </c>
      <c r="D369">
        <v>0.78843575440012048</v>
      </c>
      <c r="F369">
        <v>94.642857142857153</v>
      </c>
      <c r="G369">
        <v>6.3899999999999998E-2</v>
      </c>
    </row>
    <row r="370" spans="1:7" x14ac:dyDescent="0.25">
      <c r="A370">
        <v>346</v>
      </c>
      <c r="B370">
        <v>-1.8712234911924782E-3</v>
      </c>
      <c r="C370">
        <v>6.3771223491192477E-2</v>
      </c>
      <c r="D370">
        <v>1.9778574341700172</v>
      </c>
      <c r="F370">
        <v>94.917582417582437</v>
      </c>
      <c r="G370">
        <v>6.4899999999999999E-2</v>
      </c>
    </row>
    <row r="371" spans="1:7" x14ac:dyDescent="0.25">
      <c r="A371">
        <v>347</v>
      </c>
      <c r="B371">
        <v>-1.7274165623544807E-2</v>
      </c>
      <c r="C371">
        <v>-5.2625834376455197E-2</v>
      </c>
      <c r="D371">
        <v>-1.6321844250839481</v>
      </c>
      <c r="F371">
        <v>95.192307692307708</v>
      </c>
      <c r="G371">
        <v>6.5699999999999995E-2</v>
      </c>
    </row>
    <row r="372" spans="1:7" x14ac:dyDescent="0.25">
      <c r="A372">
        <v>348</v>
      </c>
      <c r="B372">
        <v>4.1606979032951484E-3</v>
      </c>
      <c r="C372">
        <v>-4.1606979032951484E-3</v>
      </c>
      <c r="D372">
        <v>-0.12904358468995764</v>
      </c>
      <c r="F372">
        <v>95.467032967032978</v>
      </c>
      <c r="G372">
        <v>6.5699999999999995E-2</v>
      </c>
    </row>
    <row r="373" spans="1:7" x14ac:dyDescent="0.25">
      <c r="A373">
        <v>349</v>
      </c>
      <c r="B373">
        <v>1.4339565256493016E-2</v>
      </c>
      <c r="C373">
        <v>-4.4439565256493015E-2</v>
      </c>
      <c r="D373">
        <v>-1.3782881949250607</v>
      </c>
      <c r="F373">
        <v>95.741758241758248</v>
      </c>
      <c r="G373">
        <v>6.5699999999999995E-2</v>
      </c>
    </row>
    <row r="374" spans="1:7" x14ac:dyDescent="0.25">
      <c r="A374">
        <v>350</v>
      </c>
      <c r="B374">
        <v>-4.6179019833252361E-3</v>
      </c>
      <c r="C374">
        <v>-5.3082098016674767E-2</v>
      </c>
      <c r="D374">
        <v>-1.6463353913559748</v>
      </c>
      <c r="F374">
        <v>96.016483516483532</v>
      </c>
      <c r="G374">
        <v>6.5699999999999995E-2</v>
      </c>
    </row>
    <row r="375" spans="1:7" x14ac:dyDescent="0.25">
      <c r="A375">
        <v>351</v>
      </c>
      <c r="B375">
        <v>4.1606979032951484E-3</v>
      </c>
      <c r="C375">
        <v>-3.1360697903295147E-2</v>
      </c>
      <c r="D375">
        <v>-0.97264857239816016</v>
      </c>
      <c r="F375">
        <v>96.291208791208803</v>
      </c>
      <c r="G375">
        <v>6.6400000000000001E-2</v>
      </c>
    </row>
    <row r="376" spans="1:7" x14ac:dyDescent="0.25">
      <c r="A376">
        <v>352</v>
      </c>
      <c r="B376">
        <v>1.5685976282048292E-2</v>
      </c>
      <c r="C376">
        <v>1.8140237179517099E-3</v>
      </c>
      <c r="D376">
        <v>5.6261744716361771E-2</v>
      </c>
      <c r="F376">
        <v>96.565934065934073</v>
      </c>
      <c r="G376">
        <v>6.6400000000000001E-2</v>
      </c>
    </row>
    <row r="377" spans="1:7" x14ac:dyDescent="0.25">
      <c r="A377">
        <v>353</v>
      </c>
      <c r="B377">
        <v>1.2454589820715633E-2</v>
      </c>
      <c r="C377">
        <v>-1.0154589820715633E-2</v>
      </c>
      <c r="D377">
        <v>-0.31494347870906803</v>
      </c>
      <c r="F377">
        <v>96.840659340659357</v>
      </c>
      <c r="G377">
        <v>6.6699999999999995E-2</v>
      </c>
    </row>
    <row r="378" spans="1:7" x14ac:dyDescent="0.25">
      <c r="A378">
        <v>354</v>
      </c>
      <c r="B378">
        <v>-2.7506889417764885E-2</v>
      </c>
      <c r="C378">
        <v>6.7506889417764893E-2</v>
      </c>
      <c r="D378">
        <v>2.0937186991725198</v>
      </c>
      <c r="F378">
        <v>97.115384615384627</v>
      </c>
      <c r="G378">
        <v>6.9800000000000001E-2</v>
      </c>
    </row>
    <row r="379" spans="1:7" x14ac:dyDescent="0.25">
      <c r="A379">
        <v>355</v>
      </c>
      <c r="B379">
        <v>1.0246475738804984E-2</v>
      </c>
      <c r="C379">
        <v>3.5953524261195011E-2</v>
      </c>
      <c r="D379">
        <v>1.1150945732511757</v>
      </c>
      <c r="F379">
        <v>97.390109890109898</v>
      </c>
      <c r="G379">
        <v>7.4700000000000003E-2</v>
      </c>
    </row>
    <row r="380" spans="1:7" x14ac:dyDescent="0.25">
      <c r="A380">
        <v>356</v>
      </c>
      <c r="B380">
        <v>-5.7866890665941514E-4</v>
      </c>
      <c r="C380">
        <v>3.5278668906659413E-2</v>
      </c>
      <c r="D380">
        <v>1.0941640091678</v>
      </c>
      <c r="F380">
        <v>97.664835164835182</v>
      </c>
      <c r="G380">
        <v>7.8899999999999998E-2</v>
      </c>
    </row>
    <row r="381" spans="1:7" x14ac:dyDescent="0.25">
      <c r="A381">
        <v>357</v>
      </c>
      <c r="B381">
        <v>1.5217322932068117E-3</v>
      </c>
      <c r="C381">
        <v>-4.6221732293206808E-2</v>
      </c>
      <c r="D381">
        <v>-1.4335619082008293</v>
      </c>
      <c r="F381">
        <v>97.939560439560452</v>
      </c>
      <c r="G381">
        <v>8.0699999999999994E-2</v>
      </c>
    </row>
    <row r="382" spans="1:7" x14ac:dyDescent="0.25">
      <c r="A382">
        <v>358</v>
      </c>
      <c r="B382">
        <v>2.3441303789246665E-2</v>
      </c>
      <c r="C382">
        <v>2.7558696210753332E-2</v>
      </c>
      <c r="D382">
        <v>0.85472991096053863</v>
      </c>
      <c r="F382">
        <v>98.214285714285722</v>
      </c>
      <c r="G382">
        <v>8.6999999999999994E-2</v>
      </c>
    </row>
    <row r="383" spans="1:7" x14ac:dyDescent="0.25">
      <c r="A383">
        <v>359</v>
      </c>
      <c r="B383">
        <v>4.3761236673839918E-3</v>
      </c>
      <c r="C383">
        <v>-5.5976123667383991E-2</v>
      </c>
      <c r="D383">
        <v>-1.7360932764108932</v>
      </c>
      <c r="F383">
        <v>98.489010989011007</v>
      </c>
      <c r="G383">
        <v>8.7099999999999997E-2</v>
      </c>
    </row>
    <row r="384" spans="1:7" x14ac:dyDescent="0.25">
      <c r="A384">
        <v>360</v>
      </c>
      <c r="B384">
        <v>9.3847726824496103E-3</v>
      </c>
      <c r="C384">
        <v>4.5152273175503889E-3</v>
      </c>
      <c r="D384">
        <v>0.14003927521036161</v>
      </c>
      <c r="F384">
        <v>98.763736263736277</v>
      </c>
      <c r="G384">
        <v>9.5899999999999999E-2</v>
      </c>
    </row>
    <row r="385" spans="1:7" x14ac:dyDescent="0.25">
      <c r="A385">
        <v>361</v>
      </c>
      <c r="B385">
        <v>9.3847726824496103E-3</v>
      </c>
      <c r="C385">
        <v>5.3152273175503893E-3</v>
      </c>
      <c r="D385">
        <v>0.16485118661354406</v>
      </c>
      <c r="F385">
        <v>99.038461538461547</v>
      </c>
      <c r="G385">
        <v>9.5899999999999999E-2</v>
      </c>
    </row>
    <row r="386" spans="1:7" x14ac:dyDescent="0.25">
      <c r="A386">
        <v>362</v>
      </c>
      <c r="B386">
        <v>3.6221334930730386E-3</v>
      </c>
      <c r="C386">
        <v>1.7077866506926963E-2</v>
      </c>
      <c r="D386">
        <v>0.52966813840656046</v>
      </c>
      <c r="F386">
        <v>99.313186813186832</v>
      </c>
      <c r="G386">
        <v>0.1236</v>
      </c>
    </row>
    <row r="387" spans="1:7" x14ac:dyDescent="0.25">
      <c r="A387">
        <v>363</v>
      </c>
      <c r="B387">
        <v>5.8841040160058982E-3</v>
      </c>
      <c r="C387">
        <v>5.3158959839941016E-3</v>
      </c>
      <c r="D387">
        <v>0.16487192522924365</v>
      </c>
      <c r="F387">
        <v>99.587912087912102</v>
      </c>
      <c r="G387">
        <v>0.13650000000000001</v>
      </c>
    </row>
    <row r="388" spans="1:7" ht="15" thickBot="1" x14ac:dyDescent="0.3">
      <c r="A388" s="85">
        <v>364</v>
      </c>
      <c r="B388" s="85">
        <v>7.5536536876944374E-3</v>
      </c>
      <c r="C388" s="85">
        <v>-3.5536536876944374E-3</v>
      </c>
      <c r="D388" s="85">
        <v>-0.11021617557083362</v>
      </c>
      <c r="F388" s="85">
        <v>99.862637362637372</v>
      </c>
      <c r="G388" s="85">
        <v>0.18179999999999999</v>
      </c>
    </row>
  </sheetData>
  <sortState xmlns:xlrd2="http://schemas.microsoft.com/office/spreadsheetml/2017/richdata2" ref="G25:G388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7"/>
  <sheetViews>
    <sheetView zoomScale="85" zoomScaleNormal="85" workbookViewId="0">
      <selection activeCell="B18" sqref="B18"/>
    </sheetView>
  </sheetViews>
  <sheetFormatPr defaultColWidth="9" defaultRowHeight="14.4" x14ac:dyDescent="0.25"/>
  <sheetData>
    <row r="1" spans="1:9" x14ac:dyDescent="0.25">
      <c r="A1" t="s">
        <v>5</v>
      </c>
    </row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0.65415477746790196</v>
      </c>
    </row>
    <row r="5" spans="1:9" ht="15" x14ac:dyDescent="0.3">
      <c r="A5" t="s">
        <v>8</v>
      </c>
      <c r="B5" s="84">
        <v>0.42791847288408003</v>
      </c>
    </row>
    <row r="6" spans="1:9" x14ac:dyDescent="0.25">
      <c r="A6" t="s">
        <v>9</v>
      </c>
      <c r="B6">
        <v>0.41670118803867001</v>
      </c>
    </row>
    <row r="7" spans="1:9" x14ac:dyDescent="0.25">
      <c r="A7" t="s">
        <v>10</v>
      </c>
      <c r="B7">
        <v>4.0143341109973897E-2</v>
      </c>
    </row>
    <row r="8" spans="1:9" x14ac:dyDescent="0.25">
      <c r="A8" s="85" t="s">
        <v>11</v>
      </c>
      <c r="B8" s="85">
        <v>53</v>
      </c>
    </row>
    <row r="10" spans="1:9" x14ac:dyDescent="0.25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6.1475252089055299E-2</v>
      </c>
      <c r="D12">
        <v>6.1475252089055299E-2</v>
      </c>
      <c r="E12">
        <v>38.1481328843292</v>
      </c>
      <c r="F12">
        <v>1.08433379128194E-7</v>
      </c>
    </row>
    <row r="13" spans="1:9" x14ac:dyDescent="0.25">
      <c r="A13" t="s">
        <v>19</v>
      </c>
      <c r="B13">
        <v>51</v>
      </c>
      <c r="C13">
        <v>8.2185879609057905E-2</v>
      </c>
      <c r="D13">
        <v>1.61148783547172E-3</v>
      </c>
    </row>
    <row r="14" spans="1:9" x14ac:dyDescent="0.25">
      <c r="A14" s="85" t="s">
        <v>20</v>
      </c>
      <c r="B14" s="85">
        <v>52</v>
      </c>
      <c r="C14" s="85">
        <v>0.14366113169811301</v>
      </c>
      <c r="D14" s="85"/>
      <c r="E14" s="85"/>
      <c r="F14" s="85"/>
    </row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5.1059338608735799E-3</v>
      </c>
      <c r="C17">
        <v>5.5144475526400097E-3</v>
      </c>
      <c r="D17">
        <v>0.92591938034284904</v>
      </c>
      <c r="E17">
        <v>0.35884879381691298</v>
      </c>
      <c r="F17">
        <v>-5.9647815480643801E-3</v>
      </c>
      <c r="G17">
        <v>1.6176649269811601E-2</v>
      </c>
      <c r="H17">
        <v>-5.9647815480643801E-3</v>
      </c>
      <c r="I17">
        <v>1.6176649269811601E-2</v>
      </c>
    </row>
    <row r="18" spans="1:9" ht="15" x14ac:dyDescent="0.3">
      <c r="A18" s="85" t="s">
        <v>29</v>
      </c>
      <c r="B18" s="87">
        <v>0.62232795707187905</v>
      </c>
      <c r="C18" s="85">
        <v>0.10075872609176301</v>
      </c>
      <c r="D18" s="85">
        <v>6.1764174797635896</v>
      </c>
      <c r="E18" s="85">
        <v>1.08433379128194E-7</v>
      </c>
      <c r="F18" s="85">
        <v>0.42004637385235599</v>
      </c>
      <c r="G18" s="85">
        <v>0.82460954029140299</v>
      </c>
      <c r="H18" s="85">
        <v>0.42004637385235599</v>
      </c>
      <c r="I18" s="85">
        <v>0.82460954029140299</v>
      </c>
    </row>
    <row r="22" spans="1:9" x14ac:dyDescent="0.25">
      <c r="A22" t="s">
        <v>30</v>
      </c>
    </row>
    <row r="24" spans="1:9" ht="15" x14ac:dyDescent="0.3">
      <c r="A24" s="86" t="s">
        <v>31</v>
      </c>
      <c r="B24" s="86" t="s">
        <v>32</v>
      </c>
      <c r="C24" s="86" t="s">
        <v>33</v>
      </c>
    </row>
    <row r="25" spans="1:9" x14ac:dyDescent="0.25">
      <c r="A25">
        <v>1</v>
      </c>
      <c r="B25">
        <v>7.4707800977467298E-3</v>
      </c>
      <c r="C25">
        <v>-3.2870780097746702E-2</v>
      </c>
    </row>
    <row r="26" spans="1:9" x14ac:dyDescent="0.25">
      <c r="A26">
        <v>2</v>
      </c>
      <c r="B26">
        <v>1.22627053672002E-2</v>
      </c>
      <c r="C26">
        <v>1.0037294632799801E-2</v>
      </c>
    </row>
    <row r="27" spans="1:9" x14ac:dyDescent="0.25">
      <c r="A27">
        <v>3</v>
      </c>
      <c r="B27">
        <v>1.46897843997805E-2</v>
      </c>
      <c r="C27">
        <v>1.44102156002195E-2</v>
      </c>
    </row>
    <row r="28" spans="1:9" x14ac:dyDescent="0.25">
      <c r="A28">
        <v>4</v>
      </c>
      <c r="B28">
        <v>-1.9662718830587199E-2</v>
      </c>
      <c r="C28">
        <v>-2.2737281169412801E-2</v>
      </c>
    </row>
    <row r="29" spans="1:9" x14ac:dyDescent="0.25">
      <c r="A29">
        <v>5</v>
      </c>
      <c r="B29">
        <v>5.1059338608735799E-3</v>
      </c>
      <c r="C29">
        <v>2.29406613912642E-3</v>
      </c>
    </row>
    <row r="30" spans="1:9" x14ac:dyDescent="0.25">
      <c r="A30">
        <v>6</v>
      </c>
      <c r="B30">
        <v>1.2885033324272099E-2</v>
      </c>
      <c r="C30">
        <v>9.1149666757279202E-3</v>
      </c>
    </row>
    <row r="31" spans="1:9" x14ac:dyDescent="0.25">
      <c r="A31">
        <v>7</v>
      </c>
      <c r="B31">
        <v>-1.4621862378305E-2</v>
      </c>
      <c r="C31">
        <v>-1.4078137621695E-2</v>
      </c>
    </row>
    <row r="32" spans="1:9" x14ac:dyDescent="0.25">
      <c r="A32">
        <v>8</v>
      </c>
      <c r="B32">
        <v>-0.115252293036828</v>
      </c>
      <c r="C32">
        <v>-2.86477069631721E-2</v>
      </c>
    </row>
    <row r="33" spans="1:3" x14ac:dyDescent="0.25">
      <c r="A33">
        <v>9</v>
      </c>
      <c r="B33">
        <v>-2.5637067218477302E-2</v>
      </c>
      <c r="C33">
        <v>-8.8629327815227393E-3</v>
      </c>
    </row>
    <row r="34" spans="1:3" x14ac:dyDescent="0.25">
      <c r="A34">
        <v>10</v>
      </c>
      <c r="B34">
        <v>-0.115563457015364</v>
      </c>
      <c r="C34">
        <v>-2.5036542984636201E-2</v>
      </c>
    </row>
    <row r="35" spans="1:3" x14ac:dyDescent="0.25">
      <c r="A35">
        <v>11</v>
      </c>
      <c r="B35">
        <v>8.6532032161833004E-3</v>
      </c>
      <c r="C35">
        <v>0.173146796783817</v>
      </c>
    </row>
    <row r="36" spans="1:3" x14ac:dyDescent="0.25">
      <c r="A36">
        <v>12</v>
      </c>
      <c r="B36">
        <v>3.14008591420112E-4</v>
      </c>
      <c r="C36">
        <v>-4.4314008591420102E-2</v>
      </c>
    </row>
    <row r="37" spans="1:3" x14ac:dyDescent="0.25">
      <c r="A37">
        <v>13</v>
      </c>
      <c r="B37">
        <v>-6.3449005492490001E-3</v>
      </c>
      <c r="C37">
        <v>-5.1550994507509997E-3</v>
      </c>
    </row>
    <row r="38" spans="1:3" x14ac:dyDescent="0.25">
      <c r="A38">
        <v>14</v>
      </c>
      <c r="B38">
        <v>8.1714505376421998E-2</v>
      </c>
      <c r="C38">
        <v>-1.1914505376422E-2</v>
      </c>
    </row>
    <row r="39" spans="1:3" x14ac:dyDescent="0.25">
      <c r="A39">
        <v>15</v>
      </c>
      <c r="B39">
        <v>4.54583869950889E-3</v>
      </c>
      <c r="C39">
        <v>6.35416130049111E-3</v>
      </c>
    </row>
    <row r="40" spans="1:3" x14ac:dyDescent="0.25">
      <c r="A40">
        <v>16</v>
      </c>
      <c r="B40">
        <v>4.73253708663046E-3</v>
      </c>
      <c r="C40">
        <v>2.10674629133695E-2</v>
      </c>
    </row>
    <row r="41" spans="1:3" x14ac:dyDescent="0.25">
      <c r="A41">
        <v>17</v>
      </c>
      <c r="B41">
        <v>2.75097403154612E-2</v>
      </c>
      <c r="C41">
        <v>-8.6097403154612503E-3</v>
      </c>
    </row>
    <row r="42" spans="1:3" x14ac:dyDescent="0.25">
      <c r="A42">
        <v>18</v>
      </c>
      <c r="B42">
        <v>-1.8853692486393799E-2</v>
      </c>
      <c r="C42">
        <v>4.3553692486393798E-2</v>
      </c>
    </row>
    <row r="43" spans="1:3" x14ac:dyDescent="0.25">
      <c r="A43">
        <v>19</v>
      </c>
      <c r="B43">
        <v>-6.0337365707130598E-3</v>
      </c>
      <c r="C43">
        <v>-1.00662634292869E-2</v>
      </c>
    </row>
    <row r="44" spans="1:3" x14ac:dyDescent="0.25">
      <c r="A44">
        <v>20</v>
      </c>
      <c r="B44">
        <v>2.1846555906107099E-2</v>
      </c>
      <c r="C44">
        <v>1.0853444093892901E-2</v>
      </c>
    </row>
    <row r="45" spans="1:3" x14ac:dyDescent="0.25">
      <c r="A45">
        <v>21</v>
      </c>
      <c r="B45">
        <v>4.9415684404391397E-2</v>
      </c>
      <c r="C45">
        <v>5.8843155956086104E-3</v>
      </c>
    </row>
    <row r="46" spans="1:3" x14ac:dyDescent="0.25">
      <c r="A46">
        <v>22</v>
      </c>
      <c r="B46">
        <v>3.4542046230373498E-2</v>
      </c>
      <c r="C46">
        <v>8.9057953769626497E-2</v>
      </c>
    </row>
    <row r="47" spans="1:3" x14ac:dyDescent="0.25">
      <c r="A47">
        <v>23</v>
      </c>
      <c r="B47">
        <v>-2.8250844638179201E-2</v>
      </c>
      <c r="C47">
        <v>-5.8449155361820798E-2</v>
      </c>
    </row>
    <row r="48" spans="1:3" x14ac:dyDescent="0.25">
      <c r="A48">
        <v>24</v>
      </c>
      <c r="B48">
        <v>2.5829454831367199E-2</v>
      </c>
      <c r="C48">
        <v>-4.0429454831367201E-2</v>
      </c>
    </row>
    <row r="49" spans="1:3" x14ac:dyDescent="0.25">
      <c r="A49">
        <v>25</v>
      </c>
      <c r="B49">
        <v>-1.9476020443465698E-2</v>
      </c>
      <c r="C49">
        <v>7.8776020443465697E-2</v>
      </c>
    </row>
    <row r="50" spans="1:3" x14ac:dyDescent="0.25">
      <c r="A50">
        <v>26</v>
      </c>
      <c r="B50">
        <v>2.12242279490353E-2</v>
      </c>
      <c r="C50">
        <v>-3.7242279490352602E-3</v>
      </c>
    </row>
    <row r="51" spans="1:3" x14ac:dyDescent="0.25">
      <c r="A51">
        <v>27</v>
      </c>
      <c r="B51">
        <v>-1.9040390873515299E-2</v>
      </c>
      <c r="C51">
        <v>3.2740390873515303E-2</v>
      </c>
    </row>
    <row r="52" spans="1:3" x14ac:dyDescent="0.25">
      <c r="A52">
        <v>28</v>
      </c>
      <c r="B52">
        <v>1.3445128485636801E-2</v>
      </c>
      <c r="C52">
        <v>-6.6451284856367697E-3</v>
      </c>
    </row>
    <row r="53" spans="1:3" x14ac:dyDescent="0.25">
      <c r="A53">
        <v>29</v>
      </c>
      <c r="B53">
        <v>-1.86413925833147E-3</v>
      </c>
      <c r="C53">
        <v>-1.83358607416685E-2</v>
      </c>
    </row>
    <row r="54" spans="1:3" x14ac:dyDescent="0.25">
      <c r="A54">
        <v>30</v>
      </c>
      <c r="B54">
        <v>-1.12612914101168E-2</v>
      </c>
      <c r="C54">
        <v>-2.4387085898831501E-3</v>
      </c>
    </row>
    <row r="55" spans="1:3" x14ac:dyDescent="0.25">
      <c r="A55">
        <v>31</v>
      </c>
      <c r="B55">
        <v>2.0228503217720298E-2</v>
      </c>
      <c r="C55">
        <v>6.6871496782279702E-2</v>
      </c>
    </row>
    <row r="56" spans="1:3" x14ac:dyDescent="0.25">
      <c r="A56">
        <v>32</v>
      </c>
      <c r="B56">
        <v>6.8484521406748499E-3</v>
      </c>
      <c r="C56">
        <v>-6.1348452140674803E-2</v>
      </c>
    </row>
    <row r="57" spans="1:3" x14ac:dyDescent="0.25">
      <c r="A57">
        <v>33</v>
      </c>
      <c r="B57">
        <v>4.0479763338513901E-3</v>
      </c>
      <c r="C57">
        <v>-4.0479763338513901E-3</v>
      </c>
    </row>
    <row r="58" spans="1:3" x14ac:dyDescent="0.25">
      <c r="A58">
        <v>34</v>
      </c>
      <c r="B58">
        <v>6.28835697931016E-3</v>
      </c>
      <c r="C58">
        <v>5.1164302068984404E-4</v>
      </c>
    </row>
    <row r="59" spans="1:3" x14ac:dyDescent="0.25">
      <c r="A59">
        <v>35</v>
      </c>
      <c r="B59">
        <v>9.8356263346198701E-3</v>
      </c>
      <c r="C59">
        <v>-3.1356263346198699E-3</v>
      </c>
    </row>
    <row r="60" spans="1:3" x14ac:dyDescent="0.25">
      <c r="A60">
        <v>36</v>
      </c>
      <c r="B60">
        <v>1.9320612798069999E-3</v>
      </c>
      <c r="C60">
        <v>-3.2032061279806998E-2</v>
      </c>
    </row>
    <row r="61" spans="1:3" x14ac:dyDescent="0.25">
      <c r="A61">
        <v>37</v>
      </c>
      <c r="B61">
        <v>2.7136343541218098E-2</v>
      </c>
      <c r="C61">
        <v>1.7663656458781901E-2</v>
      </c>
    </row>
    <row r="62" spans="1:3" x14ac:dyDescent="0.25">
      <c r="A62">
        <v>38</v>
      </c>
      <c r="B62">
        <v>-3.3291701090461402E-2</v>
      </c>
      <c r="C62">
        <v>2.66917010904614E-2</v>
      </c>
    </row>
    <row r="63" spans="1:3" x14ac:dyDescent="0.25">
      <c r="A63">
        <v>39</v>
      </c>
      <c r="B63">
        <v>1.29472661199793E-2</v>
      </c>
      <c r="C63">
        <v>1.03527338800207E-2</v>
      </c>
    </row>
    <row r="64" spans="1:3" x14ac:dyDescent="0.25">
      <c r="A64">
        <v>40</v>
      </c>
      <c r="B64">
        <v>3.0745845692234999E-2</v>
      </c>
      <c r="C64">
        <v>3.4154154307765E-2</v>
      </c>
    </row>
    <row r="65" spans="1:3" x14ac:dyDescent="0.25">
      <c r="A65">
        <v>41</v>
      </c>
      <c r="B65">
        <v>-2.47658080785766E-2</v>
      </c>
      <c r="C65">
        <v>-1.4834191921423399E-2</v>
      </c>
    </row>
    <row r="66" spans="1:3" x14ac:dyDescent="0.25">
      <c r="A66">
        <v>42</v>
      </c>
      <c r="B66">
        <v>-2.7976311939392801E-3</v>
      </c>
      <c r="C66">
        <v>9.0976311939392797E-3</v>
      </c>
    </row>
    <row r="67" spans="1:3" x14ac:dyDescent="0.25">
      <c r="A67">
        <v>43</v>
      </c>
      <c r="B67">
        <v>-3.83947903384508E-2</v>
      </c>
      <c r="C67">
        <v>1.31947903384508E-2</v>
      </c>
    </row>
    <row r="68" spans="1:3" x14ac:dyDescent="0.25">
      <c r="A68">
        <v>44</v>
      </c>
      <c r="B68">
        <v>2.5456058057124E-2</v>
      </c>
      <c r="C68">
        <v>-1.2556058057124E-2</v>
      </c>
    </row>
    <row r="69" spans="1:3" x14ac:dyDescent="0.25">
      <c r="A69">
        <v>45</v>
      </c>
      <c r="B69">
        <v>7.6611416128432502E-2</v>
      </c>
      <c r="C69">
        <v>-7.0211416128432499E-2</v>
      </c>
    </row>
    <row r="70" spans="1:3" x14ac:dyDescent="0.25">
      <c r="A70">
        <v>46</v>
      </c>
      <c r="B70">
        <v>4.66774413932751E-2</v>
      </c>
      <c r="C70">
        <v>-2.7677441393275101E-2</v>
      </c>
    </row>
    <row r="71" spans="1:3" x14ac:dyDescent="0.25">
      <c r="A71">
        <v>47</v>
      </c>
      <c r="B71">
        <v>3.8151548381390399E-2</v>
      </c>
      <c r="C71">
        <v>-3.8151548381390399E-2</v>
      </c>
    </row>
    <row r="72" spans="1:3" x14ac:dyDescent="0.25">
      <c r="A72">
        <v>48</v>
      </c>
      <c r="B72">
        <v>4.5930647844788897E-2</v>
      </c>
      <c r="C72">
        <v>-4.9030647844788902E-2</v>
      </c>
    </row>
    <row r="73" spans="1:3" x14ac:dyDescent="0.25">
      <c r="A73">
        <v>49</v>
      </c>
      <c r="B73">
        <v>4.38474182834488E-4</v>
      </c>
      <c r="C73">
        <v>-4.38474182834488E-4</v>
      </c>
    </row>
    <row r="74" spans="1:3" x14ac:dyDescent="0.25">
      <c r="A74">
        <v>50</v>
      </c>
      <c r="B74">
        <v>2.19087887018143E-2</v>
      </c>
      <c r="C74">
        <v>1.8691211298185701E-2</v>
      </c>
    </row>
    <row r="75" spans="1:3" x14ac:dyDescent="0.25">
      <c r="A75">
        <v>51</v>
      </c>
      <c r="B75">
        <v>-4.6646150651549201E-3</v>
      </c>
      <c r="C75">
        <v>-2.8335384934845099E-2</v>
      </c>
    </row>
    <row r="76" spans="1:3" x14ac:dyDescent="0.25">
      <c r="A76">
        <v>52</v>
      </c>
      <c r="B76">
        <v>2.2095487088935901E-2</v>
      </c>
      <c r="C76">
        <v>-6.5954870889358896E-3</v>
      </c>
    </row>
    <row r="77" spans="1:3" x14ac:dyDescent="0.25">
      <c r="A77" s="85">
        <v>53</v>
      </c>
      <c r="B77" s="85">
        <v>1.30094989156865E-2</v>
      </c>
      <c r="C77" s="85">
        <v>-3.80949891568645E-3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6"/>
  <sheetViews>
    <sheetView zoomScale="85" zoomScaleNormal="85" workbookViewId="0">
      <selection activeCell="B18" sqref="B18"/>
    </sheetView>
  </sheetViews>
  <sheetFormatPr defaultColWidth="9" defaultRowHeight="14.4" x14ac:dyDescent="0.25"/>
  <sheetData>
    <row r="1" spans="1:9" x14ac:dyDescent="0.25">
      <c r="A1" t="s">
        <v>5</v>
      </c>
    </row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0.376364448667379</v>
      </c>
    </row>
    <row r="5" spans="1:9" ht="15" x14ac:dyDescent="0.3">
      <c r="A5" t="s">
        <v>8</v>
      </c>
      <c r="B5" s="84">
        <v>0.14165019822069999</v>
      </c>
    </row>
    <row r="6" spans="1:9" x14ac:dyDescent="0.25">
      <c r="A6" t="s">
        <v>9</v>
      </c>
      <c r="B6">
        <v>0.12448320218511399</v>
      </c>
    </row>
    <row r="7" spans="1:9" x14ac:dyDescent="0.25">
      <c r="A7" t="s">
        <v>10</v>
      </c>
      <c r="B7">
        <v>2.47498236227283E-2</v>
      </c>
    </row>
    <row r="8" spans="1:9" x14ac:dyDescent="0.25">
      <c r="A8" s="85" t="s">
        <v>11</v>
      </c>
      <c r="B8" s="85">
        <v>52</v>
      </c>
    </row>
    <row r="10" spans="1:9" x14ac:dyDescent="0.25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5.0543707629612297E-3</v>
      </c>
      <c r="D12">
        <v>5.0543707629612297E-3</v>
      </c>
      <c r="E12">
        <v>8.2513095434442594</v>
      </c>
      <c r="F12">
        <v>5.9606382232839997E-3</v>
      </c>
    </row>
    <row r="13" spans="1:9" x14ac:dyDescent="0.25">
      <c r="A13" t="s">
        <v>19</v>
      </c>
      <c r="B13">
        <v>50</v>
      </c>
      <c r="C13">
        <v>3.0627688467808001E-2</v>
      </c>
      <c r="D13">
        <v>6.1255376935616E-4</v>
      </c>
    </row>
    <row r="14" spans="1:9" x14ac:dyDescent="0.25">
      <c r="A14" s="85" t="s">
        <v>20</v>
      </c>
      <c r="B14" s="85">
        <v>51</v>
      </c>
      <c r="C14" s="85">
        <v>3.5682059230769197E-2</v>
      </c>
      <c r="D14" s="85"/>
      <c r="E14" s="85"/>
      <c r="F14" s="85"/>
    </row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4.4215073732058099E-3</v>
      </c>
      <c r="C17">
        <v>3.44917816849034E-3</v>
      </c>
      <c r="D17">
        <v>1.28190170446922</v>
      </c>
      <c r="E17">
        <v>0.205789488617902</v>
      </c>
      <c r="F17">
        <v>-2.5063708663744799E-3</v>
      </c>
      <c r="G17">
        <v>1.13493856127861E-2</v>
      </c>
      <c r="H17">
        <v>-2.5063708663744799E-3</v>
      </c>
      <c r="I17">
        <v>1.13493856127861E-2</v>
      </c>
    </row>
    <row r="18" spans="1:9" ht="15" x14ac:dyDescent="0.3">
      <c r="A18" s="85" t="s">
        <v>29</v>
      </c>
      <c r="B18" s="87">
        <v>0.45854233925761101</v>
      </c>
      <c r="C18" s="85">
        <v>0.15963128231218501</v>
      </c>
      <c r="D18" s="85">
        <v>2.8725092764766198</v>
      </c>
      <c r="E18" s="85">
        <v>5.96063822328403E-3</v>
      </c>
      <c r="F18" s="85">
        <v>0.13791347259314199</v>
      </c>
      <c r="G18" s="85">
        <v>0.77917120592208</v>
      </c>
      <c r="H18" s="85">
        <v>0.13791347259314199</v>
      </c>
      <c r="I18" s="85">
        <v>0.77917120592208</v>
      </c>
    </row>
    <row r="22" spans="1:9" x14ac:dyDescent="0.25">
      <c r="A22" t="s">
        <v>30</v>
      </c>
    </row>
    <row r="24" spans="1:9" ht="15" x14ac:dyDescent="0.3">
      <c r="A24" s="86" t="s">
        <v>31</v>
      </c>
      <c r="B24" s="86" t="s">
        <v>32</v>
      </c>
      <c r="C24" s="86" t="s">
        <v>33</v>
      </c>
    </row>
    <row r="25" spans="1:9" x14ac:dyDescent="0.25">
      <c r="A25">
        <v>1</v>
      </c>
      <c r="B25">
        <v>1.0244995081777499E-2</v>
      </c>
      <c r="C25">
        <v>-1.0449950817774699E-3</v>
      </c>
    </row>
    <row r="26" spans="1:9" x14ac:dyDescent="0.25">
      <c r="A26">
        <v>2</v>
      </c>
      <c r="B26">
        <v>-1.19025999043651E-2</v>
      </c>
      <c r="C26">
        <v>1.19025999043651E-2</v>
      </c>
    </row>
    <row r="27" spans="1:9" x14ac:dyDescent="0.25">
      <c r="A27">
        <v>3</v>
      </c>
      <c r="B27">
        <v>-2.0439396103265001E-3</v>
      </c>
      <c r="C27">
        <v>5.0439396103265002E-3</v>
      </c>
    </row>
    <row r="28" spans="1:9" x14ac:dyDescent="0.25">
      <c r="A28">
        <v>4</v>
      </c>
      <c r="B28">
        <v>-1.2957247284657599E-2</v>
      </c>
      <c r="C28">
        <v>1.89572472846576E-2</v>
      </c>
    </row>
    <row r="29" spans="1:9" x14ac:dyDescent="0.25">
      <c r="A29">
        <v>5</v>
      </c>
      <c r="B29">
        <v>1.36840626262096E-2</v>
      </c>
      <c r="C29">
        <v>2.8315937373790401E-2</v>
      </c>
    </row>
    <row r="30" spans="1:9" x14ac:dyDescent="0.25">
      <c r="A30">
        <v>6</v>
      </c>
      <c r="B30">
        <v>1.1299642462070001E-2</v>
      </c>
      <c r="C30">
        <v>1.180035753793E-2</v>
      </c>
    </row>
    <row r="31" spans="1:9" x14ac:dyDescent="0.25">
      <c r="A31">
        <v>7</v>
      </c>
      <c r="B31">
        <v>7.5854495140833299E-3</v>
      </c>
      <c r="C31">
        <v>-2.1685449514083299E-2</v>
      </c>
    </row>
    <row r="32" spans="1:9" x14ac:dyDescent="0.25">
      <c r="A32">
        <v>8</v>
      </c>
      <c r="B32">
        <v>1.08411001228124E-2</v>
      </c>
      <c r="C32">
        <v>2.9158899877187599E-2</v>
      </c>
    </row>
    <row r="33" spans="1:3" x14ac:dyDescent="0.25">
      <c r="A33">
        <v>9</v>
      </c>
      <c r="B33">
        <v>2.3313451750619399E-2</v>
      </c>
      <c r="C33">
        <v>-2.60134517506194E-2</v>
      </c>
    </row>
    <row r="34" spans="1:3" x14ac:dyDescent="0.25">
      <c r="A34">
        <v>10</v>
      </c>
      <c r="B34">
        <v>1.81777775509341E-2</v>
      </c>
      <c r="C34">
        <v>-1.81777775509341E-2</v>
      </c>
    </row>
    <row r="35" spans="1:3" x14ac:dyDescent="0.25">
      <c r="A35">
        <v>11</v>
      </c>
      <c r="B35">
        <v>-4.6117767101691203E-3</v>
      </c>
      <c r="C35">
        <v>2.39117767101691E-2</v>
      </c>
    </row>
    <row r="36" spans="1:3" x14ac:dyDescent="0.25">
      <c r="A36">
        <v>12</v>
      </c>
      <c r="B36">
        <v>1.47387100065021E-2</v>
      </c>
      <c r="C36">
        <v>-6.6387100065020601E-3</v>
      </c>
    </row>
    <row r="37" spans="1:3" x14ac:dyDescent="0.25">
      <c r="A37">
        <v>13</v>
      </c>
      <c r="B37">
        <v>1.7031421702790098E-2</v>
      </c>
      <c r="C37">
        <v>1.5168578297209899E-2</v>
      </c>
    </row>
    <row r="38" spans="1:3" x14ac:dyDescent="0.25">
      <c r="A38">
        <v>14</v>
      </c>
      <c r="B38">
        <v>1.3042103351248901E-2</v>
      </c>
      <c r="C38">
        <v>-5.2421033512489003E-3</v>
      </c>
    </row>
    <row r="39" spans="1:3" x14ac:dyDescent="0.25">
      <c r="A39">
        <v>15</v>
      </c>
      <c r="B39">
        <v>7.9981376194151708E-3</v>
      </c>
      <c r="C39">
        <v>-2.8598137619415199E-2</v>
      </c>
    </row>
    <row r="40" spans="1:3" x14ac:dyDescent="0.25">
      <c r="A40">
        <v>16</v>
      </c>
      <c r="B40">
        <v>4.9259039463891803E-3</v>
      </c>
      <c r="C40">
        <v>-1.8125903946389198E-2</v>
      </c>
    </row>
    <row r="41" spans="1:3" x14ac:dyDescent="0.25">
      <c r="A41">
        <v>17</v>
      </c>
      <c r="B41">
        <v>9.9240154442971403E-3</v>
      </c>
      <c r="C41">
        <v>1.9375984555702899E-2</v>
      </c>
    </row>
    <row r="42" spans="1:3" x14ac:dyDescent="0.25">
      <c r="A42">
        <v>18</v>
      </c>
      <c r="B42">
        <v>-2.3190650138810698E-3</v>
      </c>
      <c r="C42">
        <v>-1.31809349861189E-2</v>
      </c>
    </row>
    <row r="43" spans="1:3" x14ac:dyDescent="0.25">
      <c r="A43">
        <v>19</v>
      </c>
      <c r="B43">
        <v>9.5571815728910502E-3</v>
      </c>
      <c r="C43">
        <v>-2.79571815728911E-2</v>
      </c>
    </row>
    <row r="44" spans="1:3" x14ac:dyDescent="0.25">
      <c r="A44">
        <v>20</v>
      </c>
      <c r="B44">
        <v>-1.5570938618426001E-2</v>
      </c>
      <c r="C44">
        <v>1.2870938618426E-2</v>
      </c>
    </row>
    <row r="45" spans="1:3" x14ac:dyDescent="0.25">
      <c r="A45">
        <v>21</v>
      </c>
      <c r="B45">
        <v>1.5013835410056599E-2</v>
      </c>
      <c r="C45">
        <v>1.1886164589943401E-2</v>
      </c>
    </row>
    <row r="46" spans="1:3" x14ac:dyDescent="0.25">
      <c r="A46">
        <v>22</v>
      </c>
      <c r="B46">
        <v>1.1666476333476099E-2</v>
      </c>
      <c r="C46">
        <v>1.4335236665239399E-3</v>
      </c>
    </row>
    <row r="47" spans="1:3" x14ac:dyDescent="0.25">
      <c r="A47">
        <v>23</v>
      </c>
      <c r="B47">
        <v>1.6756296299235501E-2</v>
      </c>
      <c r="C47">
        <v>3.9437037007644601E-3</v>
      </c>
    </row>
    <row r="48" spans="1:3" x14ac:dyDescent="0.25">
      <c r="A48">
        <v>24</v>
      </c>
      <c r="B48">
        <v>-5.6205698565358697E-3</v>
      </c>
      <c r="C48">
        <v>2.3320569856535901E-2</v>
      </c>
    </row>
    <row r="49" spans="1:3" x14ac:dyDescent="0.25">
      <c r="A49">
        <v>25</v>
      </c>
      <c r="B49">
        <v>5.5220089874240801E-3</v>
      </c>
      <c r="C49">
        <v>5.1677991012575898E-2</v>
      </c>
    </row>
    <row r="50" spans="1:3" x14ac:dyDescent="0.25">
      <c r="A50">
        <v>26</v>
      </c>
      <c r="B50">
        <v>-6.2166748975707601E-3</v>
      </c>
      <c r="C50">
        <v>4.1516674897570799E-2</v>
      </c>
    </row>
    <row r="51" spans="1:3" x14ac:dyDescent="0.25">
      <c r="A51">
        <v>27</v>
      </c>
      <c r="B51">
        <v>-1.9980853764007401E-3</v>
      </c>
      <c r="C51">
        <v>-1.6201914623599298E-2</v>
      </c>
    </row>
    <row r="52" spans="1:3" x14ac:dyDescent="0.25">
      <c r="A52">
        <v>28</v>
      </c>
      <c r="B52">
        <v>5.2389748951611704E-4</v>
      </c>
      <c r="C52">
        <v>-5.12389748951612E-3</v>
      </c>
    </row>
    <row r="53" spans="1:3" x14ac:dyDescent="0.25">
      <c r="A53">
        <v>29</v>
      </c>
      <c r="B53">
        <v>3.1834430572102602E-3</v>
      </c>
      <c r="C53">
        <v>3.81655694278974E-3</v>
      </c>
    </row>
    <row r="54" spans="1:3" x14ac:dyDescent="0.25">
      <c r="A54">
        <v>30</v>
      </c>
      <c r="B54">
        <v>1.7077275936715899E-2</v>
      </c>
      <c r="C54">
        <v>-8.7727593671587496E-4</v>
      </c>
    </row>
    <row r="55" spans="1:3" x14ac:dyDescent="0.25">
      <c r="A55">
        <v>31</v>
      </c>
      <c r="B55">
        <v>7.1269071748257104E-3</v>
      </c>
      <c r="C55">
        <v>-1.39269071748257E-2</v>
      </c>
    </row>
    <row r="56" spans="1:3" x14ac:dyDescent="0.25">
      <c r="A56">
        <v>32</v>
      </c>
      <c r="B56">
        <v>5.3385920517210299E-3</v>
      </c>
      <c r="C56">
        <v>-3.9638592051721003E-2</v>
      </c>
    </row>
    <row r="57" spans="1:3" x14ac:dyDescent="0.25">
      <c r="A57">
        <v>33</v>
      </c>
      <c r="B57">
        <v>-1.8146684406977001E-3</v>
      </c>
      <c r="C57">
        <v>8.9146684406976994E-3</v>
      </c>
    </row>
    <row r="58" spans="1:3" x14ac:dyDescent="0.25">
      <c r="A58">
        <v>34</v>
      </c>
      <c r="B58">
        <v>2.0653906182925199E-2</v>
      </c>
      <c r="C58">
        <v>-2.0653906182925199E-2</v>
      </c>
    </row>
    <row r="59" spans="1:3" x14ac:dyDescent="0.25">
      <c r="A59">
        <v>35</v>
      </c>
      <c r="B59">
        <v>4.7424870106861404E-3</v>
      </c>
      <c r="C59">
        <v>-2.3424870106861402E-3</v>
      </c>
    </row>
    <row r="60" spans="1:3" x14ac:dyDescent="0.25">
      <c r="A60">
        <v>36</v>
      </c>
      <c r="B60">
        <v>-2.54833618350988E-3</v>
      </c>
      <c r="C60">
        <v>-3.5051663816490101E-2</v>
      </c>
    </row>
    <row r="61" spans="1:3" x14ac:dyDescent="0.25">
      <c r="A61">
        <v>37</v>
      </c>
      <c r="B61">
        <v>1.03825577835548E-2</v>
      </c>
      <c r="C61">
        <v>1.1617442216445201E-2</v>
      </c>
    </row>
    <row r="62" spans="1:3" x14ac:dyDescent="0.25">
      <c r="A62">
        <v>38</v>
      </c>
      <c r="B62">
        <v>-1.5525084384500299E-2</v>
      </c>
      <c r="C62">
        <v>-7.2774915615499702E-2</v>
      </c>
    </row>
    <row r="63" spans="1:3" x14ac:dyDescent="0.25">
      <c r="A63">
        <v>39</v>
      </c>
      <c r="B63">
        <v>3.3668599929133E-3</v>
      </c>
      <c r="C63">
        <v>-1.3866859992913301E-2</v>
      </c>
    </row>
    <row r="64" spans="1:3" x14ac:dyDescent="0.25">
      <c r="A64">
        <v>40</v>
      </c>
      <c r="B64">
        <v>1.57475031528688E-2</v>
      </c>
      <c r="C64">
        <v>2.7524968471311999E-3</v>
      </c>
    </row>
    <row r="65" spans="1:3" x14ac:dyDescent="0.25">
      <c r="A65">
        <v>41</v>
      </c>
      <c r="B65">
        <v>5.5220089874240801E-3</v>
      </c>
      <c r="C65">
        <v>2.8277991012575901E-2</v>
      </c>
    </row>
    <row r="66" spans="1:3" x14ac:dyDescent="0.25">
      <c r="A66">
        <v>42</v>
      </c>
      <c r="B66">
        <v>9.6947442746683297E-3</v>
      </c>
      <c r="C66">
        <v>3.3005255725331702E-2</v>
      </c>
    </row>
    <row r="67" spans="1:3" x14ac:dyDescent="0.25">
      <c r="A67">
        <v>43</v>
      </c>
      <c r="B67">
        <v>8.9073136092220496E-4</v>
      </c>
      <c r="C67">
        <v>-3.9490731360922203E-2</v>
      </c>
    </row>
    <row r="68" spans="1:3" x14ac:dyDescent="0.25">
      <c r="A68">
        <v>44</v>
      </c>
      <c r="B68">
        <v>8.9152222979303995E-3</v>
      </c>
      <c r="C68">
        <v>-1.14152222979304E-2</v>
      </c>
    </row>
    <row r="69" spans="1:3" x14ac:dyDescent="0.25">
      <c r="A69">
        <v>45</v>
      </c>
      <c r="B69">
        <v>7.9981376194151708E-3</v>
      </c>
      <c r="C69">
        <v>3.2201862380584798E-2</v>
      </c>
    </row>
    <row r="70" spans="1:3" x14ac:dyDescent="0.25">
      <c r="A70">
        <v>46</v>
      </c>
      <c r="B70">
        <v>4.9717581803149398E-3</v>
      </c>
      <c r="C70">
        <v>-7.37175818031494E-3</v>
      </c>
    </row>
    <row r="71" spans="1:3" x14ac:dyDescent="0.25">
      <c r="A71">
        <v>47</v>
      </c>
      <c r="B71">
        <v>-2.36871380232857E-2</v>
      </c>
      <c r="C71">
        <v>-5.1286197671425405E-4</v>
      </c>
    </row>
    <row r="72" spans="1:3" x14ac:dyDescent="0.25">
      <c r="A72">
        <v>48</v>
      </c>
      <c r="B72">
        <v>1.52431065796854E-2</v>
      </c>
      <c r="C72">
        <v>1.45568934203146E-2</v>
      </c>
    </row>
    <row r="73" spans="1:3" x14ac:dyDescent="0.25">
      <c r="A73">
        <v>49</v>
      </c>
      <c r="B73">
        <v>1.4555293070799001E-2</v>
      </c>
      <c r="C73">
        <v>-3.8655293070798999E-2</v>
      </c>
    </row>
    <row r="74" spans="1:3" x14ac:dyDescent="0.25">
      <c r="A74">
        <v>50</v>
      </c>
      <c r="B74">
        <v>-1.2644176335885699E-3</v>
      </c>
      <c r="C74">
        <v>-3.6355823664114299E-3</v>
      </c>
    </row>
    <row r="75" spans="1:3" x14ac:dyDescent="0.25">
      <c r="A75">
        <v>51</v>
      </c>
      <c r="B75">
        <v>6.07225979453321E-3</v>
      </c>
      <c r="C75">
        <v>4.8527740205466803E-2</v>
      </c>
    </row>
    <row r="76" spans="1:3" x14ac:dyDescent="0.25">
      <c r="A76" s="85">
        <v>52</v>
      </c>
      <c r="B76" s="85">
        <v>5.7512801570528804E-3</v>
      </c>
      <c r="C76" s="85">
        <v>-5.7512801570528804E-3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zoomScale="85" zoomScaleNormal="85" workbookViewId="0">
      <selection activeCell="B18" sqref="B18"/>
    </sheetView>
  </sheetViews>
  <sheetFormatPr defaultColWidth="9" defaultRowHeight="14.4" x14ac:dyDescent="0.25"/>
  <sheetData>
    <row r="1" spans="1:9" x14ac:dyDescent="0.25">
      <c r="A1" t="s">
        <v>5</v>
      </c>
    </row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0.425854586265839</v>
      </c>
    </row>
    <row r="5" spans="1:9" ht="15" x14ac:dyDescent="0.3">
      <c r="A5" t="s">
        <v>8</v>
      </c>
      <c r="B5" s="84">
        <v>0.181352128643649</v>
      </c>
    </row>
    <row r="6" spans="1:9" x14ac:dyDescent="0.25">
      <c r="A6" t="s">
        <v>9</v>
      </c>
      <c r="B6">
        <v>0.164979171216522</v>
      </c>
    </row>
    <row r="7" spans="1:9" x14ac:dyDescent="0.25">
      <c r="A7" t="s">
        <v>10</v>
      </c>
      <c r="B7">
        <v>3.3159447570376498E-2</v>
      </c>
    </row>
    <row r="8" spans="1:9" x14ac:dyDescent="0.25">
      <c r="A8" s="85" t="s">
        <v>11</v>
      </c>
      <c r="B8" s="85">
        <v>52</v>
      </c>
    </row>
    <row r="10" spans="1:9" x14ac:dyDescent="0.25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1.2178957033680399E-2</v>
      </c>
      <c r="D12">
        <v>1.2178957033680399E-2</v>
      </c>
      <c r="E12">
        <v>11.076320783878799</v>
      </c>
      <c r="F12">
        <v>1.6463487762077599E-3</v>
      </c>
    </row>
    <row r="13" spans="1:9" x14ac:dyDescent="0.25">
      <c r="A13" t="s">
        <v>19</v>
      </c>
      <c r="B13">
        <v>50</v>
      </c>
      <c r="C13">
        <v>5.4977448158627297E-2</v>
      </c>
      <c r="D13">
        <v>1.0995489631725501E-3</v>
      </c>
    </row>
    <row r="14" spans="1:9" x14ac:dyDescent="0.25">
      <c r="A14" s="85" t="s">
        <v>20</v>
      </c>
      <c r="B14" s="85">
        <v>51</v>
      </c>
      <c r="C14" s="85">
        <v>6.71564051923077E-2</v>
      </c>
      <c r="D14" s="85"/>
      <c r="E14" s="85"/>
      <c r="F14" s="85"/>
    </row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-6.0313841073624504E-3</v>
      </c>
      <c r="C17">
        <v>4.6021815832701799E-3</v>
      </c>
      <c r="D17">
        <v>-1.31054892081784</v>
      </c>
      <c r="E17">
        <v>0.19599841940984999</v>
      </c>
      <c r="F17">
        <v>-1.52751378619821E-2</v>
      </c>
      <c r="G17">
        <v>3.2123696472571698E-3</v>
      </c>
      <c r="H17">
        <v>-1.52751378619821E-2</v>
      </c>
      <c r="I17">
        <v>3.2123696472571698E-3</v>
      </c>
    </row>
    <row r="18" spans="1:9" ht="15" x14ac:dyDescent="0.3">
      <c r="A18" s="85" t="s">
        <v>29</v>
      </c>
      <c r="B18" s="87">
        <v>0.49286545095804002</v>
      </c>
      <c r="C18" s="85">
        <v>0.14809166414342301</v>
      </c>
      <c r="D18" s="85">
        <v>3.32811069285244</v>
      </c>
      <c r="E18" s="85">
        <v>1.64634877620774E-3</v>
      </c>
      <c r="F18" s="85">
        <v>0.19541458951660201</v>
      </c>
      <c r="G18" s="85">
        <v>0.79031631239947797</v>
      </c>
      <c r="H18" s="85">
        <v>0.19541458951660201</v>
      </c>
      <c r="I18" s="85">
        <v>0.79031631239947797</v>
      </c>
    </row>
    <row r="22" spans="1:9" x14ac:dyDescent="0.25">
      <c r="A22" t="s">
        <v>30</v>
      </c>
    </row>
    <row r="24" spans="1:9" ht="15" x14ac:dyDescent="0.3">
      <c r="A24" s="86" t="s">
        <v>31</v>
      </c>
      <c r="B24" s="86" t="s">
        <v>32</v>
      </c>
      <c r="C24" s="86" t="s">
        <v>33</v>
      </c>
    </row>
    <row r="25" spans="1:9" x14ac:dyDescent="0.25">
      <c r="A25">
        <v>1</v>
      </c>
      <c r="B25">
        <v>1.21373802172073E-3</v>
      </c>
      <c r="C25">
        <v>-1.0613738021720699E-2</v>
      </c>
    </row>
    <row r="26" spans="1:9" x14ac:dyDescent="0.25">
      <c r="A26">
        <v>2</v>
      </c>
      <c r="B26">
        <v>1.72811517229528E-2</v>
      </c>
      <c r="C26">
        <v>-1.2481151722952799E-2</v>
      </c>
    </row>
    <row r="27" spans="1:9" x14ac:dyDescent="0.25">
      <c r="A27">
        <v>3</v>
      </c>
      <c r="B27">
        <v>-9.6293018993561397E-3</v>
      </c>
      <c r="C27">
        <v>-1.8770698100643898E-2</v>
      </c>
    </row>
    <row r="28" spans="1:9" x14ac:dyDescent="0.25">
      <c r="A28">
        <v>4</v>
      </c>
      <c r="B28">
        <v>-1.5445114220660999E-2</v>
      </c>
      <c r="C28">
        <v>2.5145114220661E-2</v>
      </c>
    </row>
    <row r="29" spans="1:9" x14ac:dyDescent="0.25">
      <c r="A29">
        <v>5</v>
      </c>
      <c r="B29">
        <v>4.9595154490018403E-3</v>
      </c>
      <c r="C29">
        <v>4.6404845509981597E-3</v>
      </c>
    </row>
    <row r="30" spans="1:9" x14ac:dyDescent="0.25">
      <c r="A30">
        <v>6</v>
      </c>
      <c r="B30">
        <v>7.5717023390794499E-3</v>
      </c>
      <c r="C30">
        <v>-2.9071702339079401E-2</v>
      </c>
    </row>
    <row r="31" spans="1:9" x14ac:dyDescent="0.25">
      <c r="A31">
        <v>7</v>
      </c>
      <c r="B31">
        <v>-1.37200851423079E-2</v>
      </c>
      <c r="C31">
        <v>-1.3079914857692099E-2</v>
      </c>
    </row>
    <row r="32" spans="1:9" x14ac:dyDescent="0.25">
      <c r="A32">
        <v>8</v>
      </c>
      <c r="B32">
        <v>-2.0817347636103701E-2</v>
      </c>
      <c r="C32">
        <v>-2.67826523638964E-2</v>
      </c>
    </row>
    <row r="33" spans="1:3" x14ac:dyDescent="0.25">
      <c r="A33">
        <v>9</v>
      </c>
      <c r="B33">
        <v>-6.21194724263874E-2</v>
      </c>
      <c r="C33">
        <v>4.8919472426387403E-2</v>
      </c>
    </row>
    <row r="34" spans="1:3" x14ac:dyDescent="0.25">
      <c r="A34">
        <v>10</v>
      </c>
      <c r="B34">
        <v>-2.2856066800813501E-3</v>
      </c>
      <c r="C34">
        <v>-1.3714393319918699E-2</v>
      </c>
    </row>
    <row r="35" spans="1:3" x14ac:dyDescent="0.25">
      <c r="A35">
        <v>11</v>
      </c>
      <c r="B35">
        <v>1.4767537923066801E-2</v>
      </c>
      <c r="C35">
        <v>-1.1675379230668399E-3</v>
      </c>
    </row>
    <row r="36" spans="1:3" x14ac:dyDescent="0.25">
      <c r="A36">
        <v>12</v>
      </c>
      <c r="B36">
        <v>-1.73180029343016E-2</v>
      </c>
      <c r="C36">
        <v>-2.5481997065698401E-2</v>
      </c>
    </row>
    <row r="37" spans="1:3" x14ac:dyDescent="0.25">
      <c r="A37">
        <v>13</v>
      </c>
      <c r="B37">
        <v>2.1766227326670998E-2</v>
      </c>
      <c r="C37">
        <v>2.5733772673328999E-2</v>
      </c>
    </row>
    <row r="38" spans="1:3" x14ac:dyDescent="0.25">
      <c r="A38">
        <v>14</v>
      </c>
      <c r="B38">
        <v>2.5937612844032501E-3</v>
      </c>
      <c r="C38">
        <v>-3.9893761284403202E-2</v>
      </c>
    </row>
    <row r="39" spans="1:3" x14ac:dyDescent="0.25">
      <c r="A39">
        <v>15</v>
      </c>
      <c r="B39">
        <v>8.6873220605010503E-4</v>
      </c>
      <c r="C39">
        <v>4.3431267793949901E-2</v>
      </c>
    </row>
    <row r="40" spans="1:3" x14ac:dyDescent="0.25">
      <c r="A40">
        <v>16</v>
      </c>
      <c r="B40">
        <v>1.04303219546361E-2</v>
      </c>
      <c r="C40">
        <v>-4.4930321954636102E-2</v>
      </c>
    </row>
    <row r="41" spans="1:3" x14ac:dyDescent="0.25">
      <c r="A41">
        <v>17</v>
      </c>
      <c r="B41">
        <v>-2.0176622549858199E-2</v>
      </c>
      <c r="C41">
        <v>-1.8323377450141801E-2</v>
      </c>
    </row>
    <row r="42" spans="1:3" x14ac:dyDescent="0.25">
      <c r="A42">
        <v>18</v>
      </c>
      <c r="B42">
        <v>-3.5800457345228097E-2</v>
      </c>
      <c r="C42">
        <v>-3.5599542654771901E-2</v>
      </c>
    </row>
    <row r="43" spans="1:3" x14ac:dyDescent="0.25">
      <c r="A43">
        <v>19</v>
      </c>
      <c r="B43">
        <v>-5.8835244720750399E-3</v>
      </c>
      <c r="C43">
        <v>-3.1647552792495802E-4</v>
      </c>
    </row>
    <row r="44" spans="1:3" x14ac:dyDescent="0.25">
      <c r="A44">
        <v>20</v>
      </c>
      <c r="B44">
        <v>-9.9743077150267704E-3</v>
      </c>
      <c r="C44">
        <v>6.7430771502677495E-4</v>
      </c>
    </row>
    <row r="45" spans="1:3" x14ac:dyDescent="0.25">
      <c r="A45">
        <v>21</v>
      </c>
      <c r="B45">
        <v>1.1958204852606E-2</v>
      </c>
      <c r="C45">
        <v>-5.758204852606E-3</v>
      </c>
    </row>
    <row r="46" spans="1:3" x14ac:dyDescent="0.25">
      <c r="A46">
        <v>22</v>
      </c>
      <c r="B46">
        <v>-3.0249048565184102E-3</v>
      </c>
      <c r="C46">
        <v>-6.5275095143481607E-2</v>
      </c>
    </row>
    <row r="47" spans="1:3" x14ac:dyDescent="0.25">
      <c r="A47">
        <v>23</v>
      </c>
      <c r="B47">
        <v>-2.4908130879055398E-2</v>
      </c>
      <c r="C47">
        <v>1.8208130879055401E-2</v>
      </c>
    </row>
    <row r="48" spans="1:3" x14ac:dyDescent="0.25">
      <c r="A48">
        <v>24</v>
      </c>
      <c r="B48">
        <v>-2.7273885043653998E-2</v>
      </c>
      <c r="C48">
        <v>-1.3026114956346001E-2</v>
      </c>
    </row>
    <row r="49" spans="1:3" x14ac:dyDescent="0.25">
      <c r="A49">
        <v>25</v>
      </c>
      <c r="B49">
        <v>-4.1271796644079799E-4</v>
      </c>
      <c r="C49">
        <v>-1.00872820335592E-2</v>
      </c>
    </row>
    <row r="50" spans="1:3" x14ac:dyDescent="0.25">
      <c r="A50">
        <v>26</v>
      </c>
      <c r="B50">
        <v>-2.31831018007022E-2</v>
      </c>
      <c r="C50">
        <v>-5.1168981992977597E-3</v>
      </c>
    </row>
    <row r="51" spans="1:3" x14ac:dyDescent="0.25">
      <c r="A51">
        <v>27</v>
      </c>
      <c r="B51">
        <v>-8.2492786366736293E-3</v>
      </c>
      <c r="C51">
        <v>2.6449278636673599E-2</v>
      </c>
    </row>
    <row r="52" spans="1:3" x14ac:dyDescent="0.25">
      <c r="A52">
        <v>28</v>
      </c>
      <c r="B52">
        <v>-1.0664319346368E-2</v>
      </c>
      <c r="C52">
        <v>5.3564319346368003E-2</v>
      </c>
    </row>
    <row r="53" spans="1:3" x14ac:dyDescent="0.25">
      <c r="A53">
        <v>29</v>
      </c>
      <c r="B53">
        <v>1.5901128460270302E-2</v>
      </c>
      <c r="C53">
        <v>-5.60112846027033E-3</v>
      </c>
    </row>
    <row r="54" spans="1:3" x14ac:dyDescent="0.25">
      <c r="A54">
        <v>30</v>
      </c>
      <c r="B54">
        <v>6.4873983469717596E-3</v>
      </c>
      <c r="C54">
        <v>-4.0387398346971803E-2</v>
      </c>
    </row>
    <row r="55" spans="1:3" x14ac:dyDescent="0.25">
      <c r="A55">
        <v>31</v>
      </c>
      <c r="B55">
        <v>-7.0664015543743398E-3</v>
      </c>
      <c r="C55">
        <v>5.6166401554374301E-2</v>
      </c>
    </row>
    <row r="56" spans="1:3" x14ac:dyDescent="0.25">
      <c r="A56">
        <v>32</v>
      </c>
      <c r="B56">
        <v>1.1120333585977299E-2</v>
      </c>
      <c r="C56">
        <v>-1.44203335859773E-2</v>
      </c>
    </row>
    <row r="57" spans="1:3" x14ac:dyDescent="0.25">
      <c r="A57">
        <v>33</v>
      </c>
      <c r="B57">
        <v>5.4030943548640702E-3</v>
      </c>
      <c r="C57">
        <v>1.13969056451359E-2</v>
      </c>
    </row>
    <row r="58" spans="1:3" x14ac:dyDescent="0.25">
      <c r="A58">
        <v>34</v>
      </c>
      <c r="B58">
        <v>-8.9885768131106897E-3</v>
      </c>
      <c r="C58">
        <v>-1.4111423186889301E-2</v>
      </c>
    </row>
    <row r="59" spans="1:3" x14ac:dyDescent="0.25">
      <c r="A59">
        <v>35</v>
      </c>
      <c r="B59">
        <v>-3.3040410819863003E-2</v>
      </c>
      <c r="C59">
        <v>-4.1595891801369496E-3</v>
      </c>
    </row>
    <row r="60" spans="1:3" x14ac:dyDescent="0.25">
      <c r="A60">
        <v>36</v>
      </c>
      <c r="B60">
        <v>-7.7071266406197898E-3</v>
      </c>
      <c r="C60">
        <v>-5.89928733593802E-2</v>
      </c>
    </row>
    <row r="61" spans="1:3" x14ac:dyDescent="0.25">
      <c r="A61">
        <v>37</v>
      </c>
      <c r="B61">
        <v>-9.38286917387713E-3</v>
      </c>
      <c r="C61">
        <v>1.6882869173877098E-2</v>
      </c>
    </row>
    <row r="62" spans="1:3" x14ac:dyDescent="0.25">
      <c r="A62">
        <v>38</v>
      </c>
      <c r="B62">
        <v>-2.84567621259533E-2</v>
      </c>
      <c r="C62">
        <v>-2.37432378740467E-2</v>
      </c>
    </row>
    <row r="63" spans="1:3" x14ac:dyDescent="0.25">
      <c r="A63">
        <v>39</v>
      </c>
      <c r="B63">
        <v>-9.2350095385897099E-3</v>
      </c>
      <c r="C63">
        <v>5.3350095385897101E-3</v>
      </c>
    </row>
    <row r="64" spans="1:3" x14ac:dyDescent="0.25">
      <c r="A64">
        <v>40</v>
      </c>
      <c r="B64">
        <v>7.1281234332172096E-3</v>
      </c>
      <c r="C64">
        <v>7.9871876566782796E-2</v>
      </c>
    </row>
    <row r="65" spans="1:3" x14ac:dyDescent="0.25">
      <c r="A65">
        <v>41</v>
      </c>
      <c r="B65">
        <v>5.0088019940976404E-3</v>
      </c>
      <c r="C65">
        <v>-1.9508801994097599E-2</v>
      </c>
    </row>
    <row r="66" spans="1:3" x14ac:dyDescent="0.25">
      <c r="A66">
        <v>42</v>
      </c>
      <c r="B66">
        <v>7.3745561586962298E-3</v>
      </c>
      <c r="C66">
        <v>-1.8474556158696202E-2</v>
      </c>
    </row>
    <row r="67" spans="1:3" x14ac:dyDescent="0.25">
      <c r="A67">
        <v>43</v>
      </c>
      <c r="B67">
        <v>-2.7291855859435899E-3</v>
      </c>
      <c r="C67">
        <v>1.3929185585943599E-2</v>
      </c>
    </row>
    <row r="68" spans="1:3" x14ac:dyDescent="0.25">
      <c r="A68">
        <v>44</v>
      </c>
      <c r="B68">
        <v>4.4666499980438E-3</v>
      </c>
      <c r="C68">
        <v>-8.1666499980438002E-3</v>
      </c>
    </row>
    <row r="69" spans="1:3" x14ac:dyDescent="0.25">
      <c r="A69">
        <v>45</v>
      </c>
      <c r="B69">
        <v>4.4173634529479904E-3</v>
      </c>
      <c r="C69">
        <v>6.2282636547052003E-2</v>
      </c>
    </row>
    <row r="70" spans="1:3" x14ac:dyDescent="0.25">
      <c r="A70">
        <v>46</v>
      </c>
      <c r="B70">
        <v>-1.03686000757932E-2</v>
      </c>
      <c r="C70">
        <v>-3.1399924206794098E-5</v>
      </c>
    </row>
    <row r="71" spans="1:3" x14ac:dyDescent="0.25">
      <c r="A71">
        <v>47</v>
      </c>
      <c r="B71">
        <v>9.3460179625283902E-3</v>
      </c>
      <c r="C71">
        <v>7.1353982037471606E-2</v>
      </c>
    </row>
    <row r="72" spans="1:3" x14ac:dyDescent="0.25">
      <c r="A72">
        <v>48</v>
      </c>
      <c r="B72">
        <v>-1.33750793266372E-2</v>
      </c>
      <c r="C72">
        <v>-3.21249206733627E-2</v>
      </c>
    </row>
    <row r="73" spans="1:3" x14ac:dyDescent="0.25">
      <c r="A73">
        <v>49</v>
      </c>
      <c r="B73">
        <v>5.2372639037947697E-4</v>
      </c>
      <c r="C73">
        <v>1.98762736096205E-2</v>
      </c>
    </row>
    <row r="74" spans="1:3" x14ac:dyDescent="0.25">
      <c r="A74">
        <v>50</v>
      </c>
      <c r="B74">
        <v>-8.2492786366736293E-3</v>
      </c>
      <c r="C74">
        <v>6.8249278636673599E-2</v>
      </c>
    </row>
    <row r="75" spans="1:3" x14ac:dyDescent="0.25">
      <c r="A75">
        <v>51</v>
      </c>
      <c r="B75">
        <v>-9.5486996249464205E-4</v>
      </c>
      <c r="C75">
        <v>-5.3451300375053599E-3</v>
      </c>
    </row>
    <row r="76" spans="1:3" x14ac:dyDescent="0.25">
      <c r="A76" s="85">
        <v>52</v>
      </c>
      <c r="B76" s="85">
        <v>-1.44773541345268E-3</v>
      </c>
      <c r="C76" s="85">
        <v>-1.7552264586547298E-2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7"/>
  <sheetViews>
    <sheetView zoomScale="85" zoomScaleNormal="85" workbookViewId="0">
      <selection activeCell="B18" sqref="B18"/>
    </sheetView>
  </sheetViews>
  <sheetFormatPr defaultColWidth="9" defaultRowHeight="14.4" x14ac:dyDescent="0.25"/>
  <cols>
    <col min="5" max="5" width="12" customWidth="1"/>
    <col min="6" max="6" width="12.77734375" customWidth="1"/>
  </cols>
  <sheetData>
    <row r="1" spans="1:9" x14ac:dyDescent="0.25">
      <c r="A1" t="s">
        <v>5</v>
      </c>
    </row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0.34024364270721003</v>
      </c>
    </row>
    <row r="5" spans="1:9" ht="15" x14ac:dyDescent="0.3">
      <c r="A5" t="s">
        <v>8</v>
      </c>
      <c r="B5" s="84">
        <v>0.115765736402672</v>
      </c>
    </row>
    <row r="6" spans="1:9" x14ac:dyDescent="0.25">
      <c r="A6" t="s">
        <v>9</v>
      </c>
      <c r="B6">
        <v>9.8427809665469296E-2</v>
      </c>
    </row>
    <row r="7" spans="1:9" x14ac:dyDescent="0.25">
      <c r="A7" t="s">
        <v>10</v>
      </c>
      <c r="B7">
        <v>3.1062448109887002E-2</v>
      </c>
    </row>
    <row r="8" spans="1:9" x14ac:dyDescent="0.25">
      <c r="A8" s="85" t="s">
        <v>11</v>
      </c>
      <c r="B8" s="85">
        <v>53</v>
      </c>
    </row>
    <row r="10" spans="1:9" x14ac:dyDescent="0.25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6.4424971695814402E-3</v>
      </c>
      <c r="D12">
        <v>6.4424971695814402E-3</v>
      </c>
      <c r="E12">
        <v>6.6770230464908904</v>
      </c>
      <c r="F12">
        <v>1.26735770260259E-2</v>
      </c>
    </row>
    <row r="13" spans="1:9" x14ac:dyDescent="0.25">
      <c r="A13" t="s">
        <v>19</v>
      </c>
      <c r="B13">
        <v>51</v>
      </c>
      <c r="C13">
        <v>4.9208659811550599E-2</v>
      </c>
      <c r="D13">
        <v>9.6487568257942399E-4</v>
      </c>
    </row>
    <row r="14" spans="1:9" x14ac:dyDescent="0.25">
      <c r="A14" s="85" t="s">
        <v>20</v>
      </c>
      <c r="B14" s="85">
        <v>52</v>
      </c>
      <c r="C14" s="85">
        <v>5.5651156981132099E-2</v>
      </c>
      <c r="D14" s="85"/>
      <c r="E14" s="85"/>
      <c r="F14" s="85"/>
    </row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6.0964519441212596E-3</v>
      </c>
      <c r="C17">
        <v>4.4317891094935299E-3</v>
      </c>
      <c r="D17">
        <v>1.3756186933764001</v>
      </c>
      <c r="E17">
        <v>0.17495165112514699</v>
      </c>
      <c r="F17">
        <v>-2.8007359455604198E-3</v>
      </c>
      <c r="G17">
        <v>1.49936398338029E-2</v>
      </c>
      <c r="H17">
        <v>-2.8007359455604198E-3</v>
      </c>
      <c r="I17">
        <v>1.49936398338029E-2</v>
      </c>
    </row>
    <row r="18" spans="1:9" ht="15" x14ac:dyDescent="0.3">
      <c r="A18" s="85" t="s">
        <v>29</v>
      </c>
      <c r="B18" s="87">
        <v>0.45491557239138702</v>
      </c>
      <c r="C18" s="85">
        <v>0.176051352544871</v>
      </c>
      <c r="D18" s="85">
        <v>2.5839936235391301</v>
      </c>
      <c r="E18" s="85">
        <v>1.2673577026025999E-2</v>
      </c>
      <c r="F18" s="85">
        <v>0.101477734280152</v>
      </c>
      <c r="G18" s="85">
        <v>0.80835341050262099</v>
      </c>
      <c r="H18" s="85">
        <v>0.101477734280152</v>
      </c>
      <c r="I18" s="85">
        <v>0.80835341050262099</v>
      </c>
    </row>
    <row r="22" spans="1:9" x14ac:dyDescent="0.25">
      <c r="A22" t="s">
        <v>30</v>
      </c>
    </row>
    <row r="24" spans="1:9" ht="15" x14ac:dyDescent="0.3">
      <c r="A24" s="86" t="s">
        <v>31</v>
      </c>
      <c r="B24" s="86" t="s">
        <v>32</v>
      </c>
      <c r="C24" s="86" t="s">
        <v>33</v>
      </c>
    </row>
    <row r="25" spans="1:9" x14ac:dyDescent="0.25">
      <c r="A25">
        <v>1</v>
      </c>
      <c r="B25">
        <v>1.6695984780840601E-2</v>
      </c>
      <c r="C25">
        <v>2.85040152191594E-2</v>
      </c>
    </row>
    <row r="26" spans="1:9" x14ac:dyDescent="0.25">
      <c r="A26">
        <v>2</v>
      </c>
      <c r="B26">
        <v>1.41939491326879E-2</v>
      </c>
      <c r="C26">
        <v>-1.1093949132687899E-2</v>
      </c>
    </row>
    <row r="27" spans="1:9" x14ac:dyDescent="0.25">
      <c r="A27">
        <v>3</v>
      </c>
      <c r="B27">
        <v>1.1100523240426499E-2</v>
      </c>
      <c r="C27">
        <v>-2.0300523240426499E-2</v>
      </c>
    </row>
    <row r="28" spans="1:9" x14ac:dyDescent="0.25">
      <c r="A28">
        <v>4</v>
      </c>
      <c r="B28">
        <v>2.30193112370808E-2</v>
      </c>
      <c r="C28">
        <v>-7.2719311237080794E-2</v>
      </c>
    </row>
    <row r="29" spans="1:9" x14ac:dyDescent="0.25">
      <c r="A29">
        <v>5</v>
      </c>
      <c r="B29">
        <v>1.4148457575448799E-2</v>
      </c>
      <c r="C29">
        <v>-1.0484575754488099E-3</v>
      </c>
    </row>
    <row r="30" spans="1:9" x14ac:dyDescent="0.25">
      <c r="A30">
        <v>6</v>
      </c>
      <c r="B30">
        <v>2.1381615176471899E-2</v>
      </c>
      <c r="C30">
        <v>-3.7481615176471798E-2</v>
      </c>
    </row>
    <row r="31" spans="1:9" x14ac:dyDescent="0.25">
      <c r="A31">
        <v>7</v>
      </c>
      <c r="B31">
        <v>2.08357164896022E-2</v>
      </c>
      <c r="C31">
        <v>-1.1357164896021899E-3</v>
      </c>
    </row>
    <row r="32" spans="1:9" x14ac:dyDescent="0.25">
      <c r="A32">
        <v>8</v>
      </c>
      <c r="B32">
        <v>1.0463641439078601E-2</v>
      </c>
      <c r="C32">
        <v>8.8363585609214298E-3</v>
      </c>
    </row>
    <row r="33" spans="1:3" x14ac:dyDescent="0.25">
      <c r="A33">
        <v>9</v>
      </c>
      <c r="B33">
        <v>6.6423506309909296E-3</v>
      </c>
      <c r="C33">
        <v>-3.4235063099092699E-4</v>
      </c>
    </row>
    <row r="34" spans="1:3" x14ac:dyDescent="0.25">
      <c r="A34">
        <v>10</v>
      </c>
      <c r="B34">
        <v>-1.7741124049187401E-2</v>
      </c>
      <c r="C34">
        <v>4.9041124049187403E-2</v>
      </c>
    </row>
    <row r="35" spans="1:3" x14ac:dyDescent="0.25">
      <c r="A35">
        <v>11</v>
      </c>
      <c r="B35">
        <v>-9.4161690744250202E-3</v>
      </c>
      <c r="C35">
        <v>-6.3483830925574997E-2</v>
      </c>
    </row>
    <row r="36" spans="1:3" x14ac:dyDescent="0.25">
      <c r="A36">
        <v>12</v>
      </c>
      <c r="B36">
        <v>6.5513675165126501E-3</v>
      </c>
      <c r="C36">
        <v>4.2648632483487402E-2</v>
      </c>
    </row>
    <row r="37" spans="1:3" x14ac:dyDescent="0.25">
      <c r="A37">
        <v>13</v>
      </c>
      <c r="B37">
        <v>2.0972191161319601E-2</v>
      </c>
      <c r="C37">
        <v>-3.03721911613196E-2</v>
      </c>
    </row>
    <row r="38" spans="1:3" x14ac:dyDescent="0.25">
      <c r="A38">
        <v>14</v>
      </c>
      <c r="B38">
        <v>1.44668984761228E-2</v>
      </c>
      <c r="C38">
        <v>-1.7666898476122801E-2</v>
      </c>
    </row>
    <row r="39" spans="1:3" x14ac:dyDescent="0.25">
      <c r="A39">
        <v>15</v>
      </c>
      <c r="B39">
        <v>1.8288189284210402E-2</v>
      </c>
      <c r="C39">
        <v>1.0211810715789599E-2</v>
      </c>
    </row>
    <row r="40" spans="1:3" x14ac:dyDescent="0.25">
      <c r="A40">
        <v>16</v>
      </c>
      <c r="B40">
        <v>9.5993018515349408E-3</v>
      </c>
      <c r="C40">
        <v>-1.57993018515349E-2</v>
      </c>
    </row>
    <row r="41" spans="1:3" x14ac:dyDescent="0.25">
      <c r="A41">
        <v>17</v>
      </c>
      <c r="B41">
        <v>-4.6395555643154599E-3</v>
      </c>
      <c r="C41">
        <v>2.6339555564315501E-2</v>
      </c>
    </row>
    <row r="42" spans="1:3" x14ac:dyDescent="0.25">
      <c r="A42">
        <v>18</v>
      </c>
      <c r="B42">
        <v>1.7059917238753702E-2</v>
      </c>
      <c r="C42">
        <v>3.1440082761246303E-2</v>
      </c>
    </row>
    <row r="43" spans="1:3" x14ac:dyDescent="0.25">
      <c r="A43">
        <v>19</v>
      </c>
      <c r="B43">
        <v>1.08275738969917E-2</v>
      </c>
      <c r="C43">
        <v>1.5172426103008301E-2</v>
      </c>
    </row>
    <row r="44" spans="1:3" x14ac:dyDescent="0.25">
      <c r="A44">
        <v>20</v>
      </c>
      <c r="B44">
        <v>9.9632343094480501E-3</v>
      </c>
      <c r="C44">
        <v>1.33676569055195E-3</v>
      </c>
    </row>
    <row r="45" spans="1:3" x14ac:dyDescent="0.25">
      <c r="A45">
        <v>21</v>
      </c>
      <c r="B45">
        <v>4.1670849705127702E-2</v>
      </c>
      <c r="C45">
        <v>9.4829150294872294E-2</v>
      </c>
    </row>
    <row r="46" spans="1:3" x14ac:dyDescent="0.25">
      <c r="A46">
        <v>22</v>
      </c>
      <c r="B46">
        <v>4.9591630131428002E-3</v>
      </c>
      <c r="C46">
        <v>-2.4559163013142801E-2</v>
      </c>
    </row>
    <row r="47" spans="1:3" x14ac:dyDescent="0.25">
      <c r="A47">
        <v>23</v>
      </c>
      <c r="B47">
        <v>2.2473412550211201E-2</v>
      </c>
      <c r="C47">
        <v>-1.49734125502112E-2</v>
      </c>
    </row>
    <row r="48" spans="1:3" x14ac:dyDescent="0.25">
      <c r="A48">
        <v>24</v>
      </c>
      <c r="B48">
        <v>1.18283881562527E-2</v>
      </c>
      <c r="C48">
        <v>-2.4228388156252698E-2</v>
      </c>
    </row>
    <row r="49" spans="1:3" x14ac:dyDescent="0.25">
      <c r="A49">
        <v>25</v>
      </c>
      <c r="B49">
        <v>2.9575344946206998E-3</v>
      </c>
      <c r="C49">
        <v>-5.4575344946207003E-3</v>
      </c>
    </row>
    <row r="50" spans="1:3" x14ac:dyDescent="0.25">
      <c r="A50">
        <v>26</v>
      </c>
      <c r="B50">
        <v>9.6447934087740793E-3</v>
      </c>
      <c r="C50">
        <v>-7.1447934087740797E-3</v>
      </c>
    </row>
    <row r="51" spans="1:3" x14ac:dyDescent="0.25">
      <c r="A51">
        <v>27</v>
      </c>
      <c r="B51">
        <v>6.0054688296429896E-3</v>
      </c>
      <c r="C51">
        <v>-3.50546882964299E-3</v>
      </c>
    </row>
    <row r="52" spans="1:3" x14ac:dyDescent="0.25">
      <c r="A52">
        <v>28</v>
      </c>
      <c r="B52">
        <v>2.29283281226026E-2</v>
      </c>
      <c r="C52">
        <v>7.17167187739743E-3</v>
      </c>
    </row>
    <row r="53" spans="1:3" x14ac:dyDescent="0.25">
      <c r="A53">
        <v>29</v>
      </c>
      <c r="B53">
        <v>1.07365907825134E-2</v>
      </c>
      <c r="C53">
        <v>6.2634092174865897E-3</v>
      </c>
    </row>
    <row r="54" spans="1:3" x14ac:dyDescent="0.25">
      <c r="A54">
        <v>30</v>
      </c>
      <c r="B54">
        <v>4.27678965455572E-3</v>
      </c>
      <c r="C54">
        <v>2.4423210345444299E-2</v>
      </c>
    </row>
    <row r="55" spans="1:3" x14ac:dyDescent="0.25">
      <c r="A55">
        <v>31</v>
      </c>
      <c r="B55">
        <v>1.18336376229429E-3</v>
      </c>
      <c r="C55">
        <v>-1.18336376229429E-3</v>
      </c>
    </row>
    <row r="56" spans="1:3" x14ac:dyDescent="0.25">
      <c r="A56">
        <v>32</v>
      </c>
      <c r="B56">
        <v>-5.1854542511851299E-3</v>
      </c>
      <c r="C56">
        <v>-2.5014545748814902E-2</v>
      </c>
    </row>
    <row r="57" spans="1:3" x14ac:dyDescent="0.25">
      <c r="A57">
        <v>33</v>
      </c>
      <c r="B57">
        <v>-2.22850303064111E-3</v>
      </c>
      <c r="C57">
        <v>-1.45714969693589E-2</v>
      </c>
    </row>
    <row r="58" spans="1:3" x14ac:dyDescent="0.25">
      <c r="A58">
        <v>34</v>
      </c>
      <c r="B58">
        <v>1.9198020428993198E-2</v>
      </c>
      <c r="C58">
        <v>5.2019795710067998E-3</v>
      </c>
    </row>
    <row r="59" spans="1:3" x14ac:dyDescent="0.25">
      <c r="A59">
        <v>35</v>
      </c>
      <c r="B59">
        <v>6.0054688296429896E-3</v>
      </c>
      <c r="C59">
        <v>-2.2705468829643E-2</v>
      </c>
    </row>
    <row r="60" spans="1:3" x14ac:dyDescent="0.25">
      <c r="A60">
        <v>36</v>
      </c>
      <c r="B60">
        <v>-7.9149476855334498E-3</v>
      </c>
      <c r="C60">
        <v>-3.80850523144666E-2</v>
      </c>
    </row>
    <row r="61" spans="1:3" x14ac:dyDescent="0.25">
      <c r="A61">
        <v>37</v>
      </c>
      <c r="B61">
        <v>5.7780110434472896E-3</v>
      </c>
      <c r="C61">
        <v>-1.5978011043447302E-2</v>
      </c>
    </row>
    <row r="62" spans="1:3" x14ac:dyDescent="0.25">
      <c r="A62">
        <v>38</v>
      </c>
      <c r="B62">
        <v>-8.6428126013596597E-3</v>
      </c>
      <c r="C62">
        <v>1.1242812601359699E-2</v>
      </c>
    </row>
    <row r="63" spans="1:3" x14ac:dyDescent="0.25">
      <c r="A63">
        <v>39</v>
      </c>
      <c r="B63">
        <v>2.9575344946206998E-3</v>
      </c>
      <c r="C63">
        <v>6.0942465505379302E-2</v>
      </c>
    </row>
    <row r="64" spans="1:3" x14ac:dyDescent="0.25">
      <c r="A64">
        <v>40</v>
      </c>
      <c r="B64">
        <v>-2.1152990842122799E-2</v>
      </c>
      <c r="C64">
        <v>6.7529908421227998E-3</v>
      </c>
    </row>
    <row r="65" spans="1:3" x14ac:dyDescent="0.25">
      <c r="A65">
        <v>41</v>
      </c>
      <c r="B65">
        <v>1.9198020428993198E-2</v>
      </c>
      <c r="C65">
        <v>-5.3298020428993197E-2</v>
      </c>
    </row>
    <row r="66" spans="1:3" x14ac:dyDescent="0.25">
      <c r="A66">
        <v>42</v>
      </c>
      <c r="B66">
        <v>8.1435720198825001E-3</v>
      </c>
      <c r="C66">
        <v>1.45564279801175E-2</v>
      </c>
    </row>
    <row r="67" spans="1:3" x14ac:dyDescent="0.25">
      <c r="A67">
        <v>43</v>
      </c>
      <c r="B67">
        <v>7.5976733330128396E-3</v>
      </c>
      <c r="C67">
        <v>-1.0097673333012799E-2</v>
      </c>
    </row>
    <row r="68" spans="1:3" x14ac:dyDescent="0.25">
      <c r="A68">
        <v>44</v>
      </c>
      <c r="B68">
        <v>2.1927513863341502E-2</v>
      </c>
      <c r="C68">
        <v>-1.6927513863341501E-2</v>
      </c>
    </row>
    <row r="69" spans="1:3" x14ac:dyDescent="0.25">
      <c r="A69">
        <v>45</v>
      </c>
      <c r="B69">
        <v>-1.35891397640734E-4</v>
      </c>
      <c r="C69">
        <v>5.4335891397640702E-2</v>
      </c>
    </row>
    <row r="70" spans="1:3" x14ac:dyDescent="0.25">
      <c r="A70">
        <v>46</v>
      </c>
      <c r="B70">
        <v>2.4020125496341901E-2</v>
      </c>
      <c r="C70">
        <v>-3.1020125496341901E-2</v>
      </c>
    </row>
    <row r="71" spans="1:3" x14ac:dyDescent="0.25">
      <c r="A71">
        <v>47</v>
      </c>
      <c r="B71">
        <v>9.0988947219044092E-3</v>
      </c>
      <c r="C71">
        <v>4.7401105278095601E-2</v>
      </c>
    </row>
    <row r="72" spans="1:3" x14ac:dyDescent="0.25">
      <c r="A72">
        <v>48</v>
      </c>
      <c r="B72">
        <v>1.3830016674774801E-2</v>
      </c>
      <c r="C72">
        <v>3.7369983325225203E-2</v>
      </c>
    </row>
    <row r="73" spans="1:3" x14ac:dyDescent="0.25">
      <c r="A73">
        <v>49</v>
      </c>
      <c r="B73">
        <v>4.3222812117948498E-3</v>
      </c>
      <c r="C73">
        <v>-6.4222812117948501E-3</v>
      </c>
    </row>
    <row r="74" spans="1:3" x14ac:dyDescent="0.25">
      <c r="A74">
        <v>50</v>
      </c>
      <c r="B74">
        <v>1.1691913484535301E-2</v>
      </c>
      <c r="C74">
        <v>-3.1919134845353201E-3</v>
      </c>
    </row>
    <row r="75" spans="1:3" x14ac:dyDescent="0.25">
      <c r="A75">
        <v>51</v>
      </c>
      <c r="B75">
        <v>6.1419435013603998E-3</v>
      </c>
      <c r="C75">
        <v>-1.9419435013604E-3</v>
      </c>
    </row>
    <row r="76" spans="1:3" x14ac:dyDescent="0.25">
      <c r="A76">
        <v>52</v>
      </c>
      <c r="B76">
        <v>6.8698084171866201E-3</v>
      </c>
      <c r="C76">
        <v>-2.66980841718662E-3</v>
      </c>
    </row>
    <row r="77" spans="1:3" x14ac:dyDescent="0.25">
      <c r="A77" s="85">
        <v>53</v>
      </c>
      <c r="B77" s="85">
        <v>1.2601744629318099E-2</v>
      </c>
      <c r="C77" s="85">
        <v>1.03982553706819E-2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9"/>
  <sheetViews>
    <sheetView zoomScale="70" zoomScaleNormal="70" workbookViewId="0">
      <selection activeCell="B18" sqref="B18"/>
    </sheetView>
  </sheetViews>
  <sheetFormatPr defaultColWidth="9" defaultRowHeight="14.4" x14ac:dyDescent="0.25"/>
  <cols>
    <col min="4" max="4" width="12.44140625" customWidth="1"/>
    <col min="6" max="6" width="13" customWidth="1"/>
  </cols>
  <sheetData>
    <row r="1" spans="1:9" x14ac:dyDescent="0.25">
      <c r="A1" t="s">
        <v>5</v>
      </c>
    </row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0.292356021275754</v>
      </c>
    </row>
    <row r="5" spans="1:9" ht="15" x14ac:dyDescent="0.3">
      <c r="A5" t="s">
        <v>8</v>
      </c>
      <c r="B5" s="84">
        <v>8.5472043176189297E-2</v>
      </c>
    </row>
    <row r="6" spans="1:9" x14ac:dyDescent="0.25">
      <c r="A6" t="s">
        <v>9</v>
      </c>
      <c r="B6">
        <v>7.6593130974016405E-2</v>
      </c>
    </row>
    <row r="7" spans="1:9" x14ac:dyDescent="0.25">
      <c r="A7" t="s">
        <v>10</v>
      </c>
      <c r="B7">
        <v>3.08042462400119E-2</v>
      </c>
    </row>
    <row r="8" spans="1:9" x14ac:dyDescent="0.25">
      <c r="A8" s="85" t="s">
        <v>11</v>
      </c>
      <c r="B8" s="85">
        <v>105</v>
      </c>
    </row>
    <row r="10" spans="1:9" x14ac:dyDescent="0.25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9.1345150754158205E-3</v>
      </c>
      <c r="D12">
        <v>9.1345150754158205E-3</v>
      </c>
      <c r="E12">
        <v>9.6264093201948597</v>
      </c>
      <c r="F12">
        <v>2.4756085243101398E-3</v>
      </c>
    </row>
    <row r="13" spans="1:9" x14ac:dyDescent="0.25">
      <c r="A13" t="s">
        <v>19</v>
      </c>
      <c r="B13">
        <v>103</v>
      </c>
      <c r="C13">
        <v>9.7736863400774698E-2</v>
      </c>
      <c r="D13">
        <v>9.4890158641528801E-4</v>
      </c>
    </row>
    <row r="14" spans="1:9" x14ac:dyDescent="0.25">
      <c r="A14" s="85" t="s">
        <v>20</v>
      </c>
      <c r="B14" s="85">
        <v>104</v>
      </c>
      <c r="C14" s="85">
        <v>0.10687137847619101</v>
      </c>
      <c r="D14" s="85"/>
      <c r="E14" s="85"/>
      <c r="F14" s="85"/>
    </row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7.28084278408589E-3</v>
      </c>
      <c r="C17">
        <v>3.0755622797255101E-3</v>
      </c>
      <c r="D17">
        <v>2.3673208740015199</v>
      </c>
      <c r="E17">
        <v>1.9785166538763901E-2</v>
      </c>
      <c r="F17">
        <v>1.18119038968857E-3</v>
      </c>
      <c r="G17">
        <v>1.33804951784832E-2</v>
      </c>
      <c r="H17">
        <v>1.18119038968857E-3</v>
      </c>
      <c r="I17">
        <v>1.33804951784832E-2</v>
      </c>
    </row>
    <row r="18" spans="1:9" ht="15" x14ac:dyDescent="0.3">
      <c r="A18" s="85" t="s">
        <v>29</v>
      </c>
      <c r="B18" s="87">
        <v>0.42723906252974198</v>
      </c>
      <c r="C18" s="85">
        <v>0.13770153812734701</v>
      </c>
      <c r="D18" s="85">
        <v>3.1026455356993101</v>
      </c>
      <c r="E18" s="85">
        <v>2.4756085243101498E-3</v>
      </c>
      <c r="F18" s="85">
        <v>0.154140539281619</v>
      </c>
      <c r="G18" s="85">
        <v>0.70033758577786598</v>
      </c>
      <c r="H18" s="85">
        <v>0.154140539281619</v>
      </c>
      <c r="I18" s="85">
        <v>0.70033758577786598</v>
      </c>
    </row>
    <row r="22" spans="1:9" x14ac:dyDescent="0.25">
      <c r="A22" t="s">
        <v>30</v>
      </c>
    </row>
    <row r="24" spans="1:9" ht="15" x14ac:dyDescent="0.3">
      <c r="A24" s="86" t="s">
        <v>31</v>
      </c>
      <c r="B24" s="86" t="s">
        <v>32</v>
      </c>
      <c r="C24" s="86" t="s">
        <v>33</v>
      </c>
    </row>
    <row r="25" spans="1:9" x14ac:dyDescent="0.25">
      <c r="A25">
        <v>1</v>
      </c>
      <c r="B25">
        <v>1.7235512941028899E-2</v>
      </c>
      <c r="C25">
        <v>2.7964487058971099E-2</v>
      </c>
    </row>
    <row r="26" spans="1:9" x14ac:dyDescent="0.25">
      <c r="A26">
        <v>2</v>
      </c>
      <c r="B26">
        <v>1.4885698097115299E-2</v>
      </c>
      <c r="C26">
        <v>-1.1785698097115299E-2</v>
      </c>
    </row>
    <row r="27" spans="1:9" x14ac:dyDescent="0.25">
      <c r="A27">
        <v>3</v>
      </c>
      <c r="B27">
        <v>1.19804724719131E-2</v>
      </c>
      <c r="C27">
        <v>-2.1180472471913101E-2</v>
      </c>
    </row>
    <row r="28" spans="1:9" x14ac:dyDescent="0.25">
      <c r="A28">
        <v>4</v>
      </c>
      <c r="B28">
        <v>2.3174135910192298E-2</v>
      </c>
      <c r="C28">
        <v>-7.2874135910192303E-2</v>
      </c>
    </row>
    <row r="29" spans="1:9" x14ac:dyDescent="0.25">
      <c r="A29">
        <v>5</v>
      </c>
      <c r="B29">
        <v>1.48429741908623E-2</v>
      </c>
      <c r="C29">
        <v>-1.7429741908623301E-3</v>
      </c>
    </row>
    <row r="30" spans="1:9" x14ac:dyDescent="0.25">
      <c r="A30">
        <v>6</v>
      </c>
      <c r="B30">
        <v>2.16360752850852E-2</v>
      </c>
      <c r="C30">
        <v>-3.7736075285085199E-2</v>
      </c>
    </row>
    <row r="31" spans="1:9" x14ac:dyDescent="0.25">
      <c r="A31">
        <v>7</v>
      </c>
      <c r="B31">
        <v>2.1123388410049501E-2</v>
      </c>
      <c r="C31">
        <v>-1.4233884100495399E-3</v>
      </c>
    </row>
    <row r="32" spans="1:9" x14ac:dyDescent="0.25">
      <c r="A32">
        <v>8</v>
      </c>
      <c r="B32">
        <v>1.13823377843714E-2</v>
      </c>
      <c r="C32">
        <v>7.9176622156285903E-3</v>
      </c>
    </row>
    <row r="33" spans="1:3" x14ac:dyDescent="0.25">
      <c r="A33">
        <v>9</v>
      </c>
      <c r="B33">
        <v>7.7935296591215798E-3</v>
      </c>
      <c r="C33">
        <v>-1.49352965912158E-3</v>
      </c>
    </row>
    <row r="34" spans="1:3" x14ac:dyDescent="0.25">
      <c r="A34">
        <v>10</v>
      </c>
      <c r="B34">
        <v>-1.5106484092472601E-2</v>
      </c>
      <c r="C34">
        <v>4.6406484092472597E-2</v>
      </c>
    </row>
    <row r="35" spans="1:3" x14ac:dyDescent="0.25">
      <c r="A35">
        <v>11</v>
      </c>
      <c r="B35">
        <v>-7.2880092481783197E-3</v>
      </c>
      <c r="C35">
        <v>-6.5611990751821697E-2</v>
      </c>
    </row>
    <row r="36" spans="1:3" x14ac:dyDescent="0.25">
      <c r="A36">
        <v>12</v>
      </c>
      <c r="B36">
        <v>7.7080818466156303E-3</v>
      </c>
      <c r="C36">
        <v>4.1491918153384398E-2</v>
      </c>
    </row>
    <row r="37" spans="1:3" x14ac:dyDescent="0.25">
      <c r="A37">
        <v>13</v>
      </c>
      <c r="B37">
        <v>2.1251560128808501E-2</v>
      </c>
      <c r="C37">
        <v>-3.06515601288085E-2</v>
      </c>
    </row>
    <row r="38" spans="1:3" x14ac:dyDescent="0.25">
      <c r="A38">
        <v>14</v>
      </c>
      <c r="B38">
        <v>1.51420415346331E-2</v>
      </c>
      <c r="C38">
        <v>-1.8342041534633102E-2</v>
      </c>
    </row>
    <row r="39" spans="1:3" x14ac:dyDescent="0.25">
      <c r="A39">
        <v>15</v>
      </c>
      <c r="B39">
        <v>1.8730849659883E-2</v>
      </c>
      <c r="C39">
        <v>9.7691503401170204E-3</v>
      </c>
    </row>
    <row r="40" spans="1:3" x14ac:dyDescent="0.25">
      <c r="A40">
        <v>16</v>
      </c>
      <c r="B40">
        <v>1.05705835655649E-2</v>
      </c>
      <c r="C40">
        <v>-1.6770583565564899E-2</v>
      </c>
    </row>
    <row r="41" spans="1:3" x14ac:dyDescent="0.25">
      <c r="A41">
        <v>17</v>
      </c>
      <c r="B41">
        <v>-2.8019990916160302E-3</v>
      </c>
      <c r="C41">
        <v>2.4501999091616E-2</v>
      </c>
    </row>
    <row r="42" spans="1:3" x14ac:dyDescent="0.25">
      <c r="A42">
        <v>18</v>
      </c>
      <c r="B42">
        <v>1.75773041910527E-2</v>
      </c>
      <c r="C42">
        <v>3.0922695808947302E-2</v>
      </c>
    </row>
    <row r="43" spans="1:3" x14ac:dyDescent="0.25">
      <c r="A43">
        <v>19</v>
      </c>
      <c r="B43">
        <v>1.17241290343952E-2</v>
      </c>
      <c r="C43">
        <v>1.4275870965604801E-2</v>
      </c>
    </row>
    <row r="44" spans="1:3" x14ac:dyDescent="0.25">
      <c r="A44">
        <v>20</v>
      </c>
      <c r="B44">
        <v>1.09123748155887E-2</v>
      </c>
      <c r="C44">
        <v>3.8762518441129998E-4</v>
      </c>
    </row>
    <row r="45" spans="1:3" x14ac:dyDescent="0.25">
      <c r="A45">
        <v>21</v>
      </c>
      <c r="B45">
        <v>4.0690937473911698E-2</v>
      </c>
      <c r="C45">
        <v>9.5809062526088298E-2</v>
      </c>
    </row>
    <row r="46" spans="1:3" x14ac:dyDescent="0.25">
      <c r="A46">
        <v>22</v>
      </c>
      <c r="B46">
        <v>6.2127451277615301E-3</v>
      </c>
      <c r="C46">
        <v>-2.5812745127761501E-2</v>
      </c>
    </row>
    <row r="47" spans="1:3" x14ac:dyDescent="0.25">
      <c r="A47">
        <v>23</v>
      </c>
      <c r="B47">
        <v>2.26614490351566E-2</v>
      </c>
      <c r="C47">
        <v>-1.51614490351566E-2</v>
      </c>
    </row>
    <row r="48" spans="1:3" x14ac:dyDescent="0.25">
      <c r="A48">
        <v>24</v>
      </c>
      <c r="B48">
        <v>1.26640549719606E-2</v>
      </c>
      <c r="C48">
        <v>-2.5064054971960601E-2</v>
      </c>
    </row>
    <row r="49" spans="1:3" x14ac:dyDescent="0.25">
      <c r="A49">
        <v>25</v>
      </c>
      <c r="B49">
        <v>4.3328932526306698E-3</v>
      </c>
      <c r="C49">
        <v>-6.8328932526306703E-3</v>
      </c>
    </row>
    <row r="50" spans="1:3" x14ac:dyDescent="0.25">
      <c r="A50">
        <v>26</v>
      </c>
      <c r="B50">
        <v>1.06133074718179E-2</v>
      </c>
      <c r="C50">
        <v>-8.1133074718178801E-3</v>
      </c>
    </row>
    <row r="51" spans="1:3" x14ac:dyDescent="0.25">
      <c r="A51">
        <v>27</v>
      </c>
      <c r="B51">
        <v>7.1953949715799397E-3</v>
      </c>
      <c r="C51">
        <v>-4.6953949715799401E-3</v>
      </c>
    </row>
    <row r="52" spans="1:3" x14ac:dyDescent="0.25">
      <c r="A52">
        <v>28</v>
      </c>
      <c r="B52">
        <v>2.30886880976863E-2</v>
      </c>
      <c r="C52">
        <v>7.0113119023136501E-3</v>
      </c>
    </row>
    <row r="53" spans="1:3" x14ac:dyDescent="0.25">
      <c r="A53">
        <v>29</v>
      </c>
      <c r="B53">
        <v>1.16386812218893E-2</v>
      </c>
      <c r="C53">
        <v>5.3613187781107402E-3</v>
      </c>
    </row>
    <row r="54" spans="1:3" x14ac:dyDescent="0.25">
      <c r="A54">
        <v>30</v>
      </c>
      <c r="B54">
        <v>5.57188653396692E-3</v>
      </c>
      <c r="C54">
        <v>2.31281134660331E-2</v>
      </c>
    </row>
    <row r="55" spans="1:3" x14ac:dyDescent="0.25">
      <c r="A55">
        <v>31</v>
      </c>
      <c r="B55">
        <v>2.6666609087646698E-3</v>
      </c>
      <c r="C55">
        <v>-2.6666609087646698E-3</v>
      </c>
    </row>
    <row r="56" spans="1:3" x14ac:dyDescent="0.25">
      <c r="A56">
        <v>32</v>
      </c>
      <c r="B56">
        <v>-3.31468596665172E-3</v>
      </c>
      <c r="C56">
        <v>-2.68853140333483E-2</v>
      </c>
    </row>
    <row r="57" spans="1:3" x14ac:dyDescent="0.25">
      <c r="A57">
        <v>33</v>
      </c>
      <c r="B57">
        <v>-5.3763206020839298E-4</v>
      </c>
      <c r="C57">
        <v>-1.6262367939791599E-2</v>
      </c>
    </row>
    <row r="58" spans="1:3" x14ac:dyDescent="0.25">
      <c r="A58">
        <v>34</v>
      </c>
      <c r="B58">
        <v>1.9585327784942499E-2</v>
      </c>
      <c r="C58">
        <v>4.8146722150575402E-3</v>
      </c>
    </row>
    <row r="59" spans="1:3" x14ac:dyDescent="0.25">
      <c r="A59">
        <v>35</v>
      </c>
      <c r="B59">
        <v>7.1953949715799397E-3</v>
      </c>
      <c r="C59">
        <v>-2.38953949715799E-2</v>
      </c>
    </row>
    <row r="60" spans="1:3" x14ac:dyDescent="0.25">
      <c r="A60">
        <v>36</v>
      </c>
      <c r="B60">
        <v>-5.8781203418301698E-3</v>
      </c>
      <c r="C60">
        <v>-4.0121879658169803E-2</v>
      </c>
    </row>
    <row r="61" spans="1:3" x14ac:dyDescent="0.25">
      <c r="A61">
        <v>37</v>
      </c>
      <c r="B61">
        <v>6.98177544031507E-3</v>
      </c>
      <c r="C61">
        <v>-1.71817754403151E-2</v>
      </c>
    </row>
    <row r="62" spans="1:3" x14ac:dyDescent="0.25">
      <c r="A62">
        <v>38</v>
      </c>
      <c r="B62">
        <v>-6.5617028418777602E-3</v>
      </c>
      <c r="C62">
        <v>9.1617028418777592E-3</v>
      </c>
    </row>
    <row r="63" spans="1:3" x14ac:dyDescent="0.25">
      <c r="A63">
        <v>39</v>
      </c>
      <c r="B63">
        <v>4.3328932526306698E-3</v>
      </c>
      <c r="C63">
        <v>5.95671067473693E-2</v>
      </c>
    </row>
    <row r="64" spans="1:3" x14ac:dyDescent="0.25">
      <c r="A64">
        <v>40</v>
      </c>
      <c r="B64">
        <v>-1.83107770614457E-2</v>
      </c>
      <c r="C64">
        <v>3.9107770614456704E-3</v>
      </c>
    </row>
    <row r="65" spans="1:3" x14ac:dyDescent="0.25">
      <c r="A65">
        <v>41</v>
      </c>
      <c r="B65">
        <v>1.9585327784942499E-2</v>
      </c>
      <c r="C65">
        <v>-5.3685327784942498E-2</v>
      </c>
    </row>
    <row r="66" spans="1:3" x14ac:dyDescent="0.25">
      <c r="A66">
        <v>42</v>
      </c>
      <c r="B66">
        <v>9.2034185654697297E-3</v>
      </c>
      <c r="C66">
        <v>1.3496581434530299E-2</v>
      </c>
    </row>
    <row r="67" spans="1:3" x14ac:dyDescent="0.25">
      <c r="A67">
        <v>43</v>
      </c>
      <c r="B67">
        <v>8.69073169043404E-3</v>
      </c>
      <c r="C67">
        <v>-1.1190731690434001E-2</v>
      </c>
    </row>
    <row r="68" spans="1:3" x14ac:dyDescent="0.25">
      <c r="A68">
        <v>44</v>
      </c>
      <c r="B68">
        <v>2.2148762160120902E-2</v>
      </c>
      <c r="C68">
        <v>-1.7148762160120901E-2</v>
      </c>
    </row>
    <row r="69" spans="1:3" x14ac:dyDescent="0.25">
      <c r="A69">
        <v>45</v>
      </c>
      <c r="B69">
        <v>1.4276676274284201E-3</v>
      </c>
      <c r="C69">
        <v>5.2772332372571597E-2</v>
      </c>
    </row>
    <row r="70" spans="1:3" x14ac:dyDescent="0.25">
      <c r="A70">
        <v>46</v>
      </c>
      <c r="B70">
        <v>2.41140618477577E-2</v>
      </c>
      <c r="C70">
        <v>-3.1114061847757699E-2</v>
      </c>
    </row>
    <row r="71" spans="1:3" x14ac:dyDescent="0.25">
      <c r="A71">
        <v>47</v>
      </c>
      <c r="B71">
        <v>1.0100620596782199E-2</v>
      </c>
      <c r="C71">
        <v>4.6399379403217797E-2</v>
      </c>
    </row>
    <row r="72" spans="1:3" x14ac:dyDescent="0.25">
      <c r="A72">
        <v>48</v>
      </c>
      <c r="B72">
        <v>1.45439068470915E-2</v>
      </c>
      <c r="C72">
        <v>3.6656093152908499E-2</v>
      </c>
    </row>
    <row r="73" spans="1:3" x14ac:dyDescent="0.25">
      <c r="A73">
        <v>49</v>
      </c>
      <c r="B73">
        <v>5.6146104402199004E-3</v>
      </c>
      <c r="C73">
        <v>-7.7146104402198998E-3</v>
      </c>
    </row>
    <row r="74" spans="1:3" x14ac:dyDescent="0.25">
      <c r="A74">
        <v>50</v>
      </c>
      <c r="B74">
        <v>1.25358832532017E-2</v>
      </c>
      <c r="C74">
        <v>-4.0358832532017197E-3</v>
      </c>
    </row>
    <row r="75" spans="1:3" x14ac:dyDescent="0.25">
      <c r="A75">
        <v>51</v>
      </c>
      <c r="B75">
        <v>7.32356669033886E-3</v>
      </c>
      <c r="C75">
        <v>-3.1235666903388598E-3</v>
      </c>
    </row>
    <row r="76" spans="1:3" x14ac:dyDescent="0.25">
      <c r="A76">
        <v>52</v>
      </c>
      <c r="B76">
        <v>8.0071491903864495E-3</v>
      </c>
      <c r="C76">
        <v>-3.8071491903864498E-3</v>
      </c>
    </row>
    <row r="77" spans="1:3" x14ac:dyDescent="0.25">
      <c r="A77">
        <v>53</v>
      </c>
      <c r="B77">
        <v>1.33903613782612E-2</v>
      </c>
      <c r="C77">
        <v>9.6096386217387995E-3</v>
      </c>
    </row>
    <row r="78" spans="1:3" x14ac:dyDescent="0.25">
      <c r="A78">
        <v>54</v>
      </c>
      <c r="B78">
        <v>2.0610701535013799E-2</v>
      </c>
      <c r="C78">
        <v>-1.24107015350138E-2</v>
      </c>
    </row>
    <row r="79" spans="1:3" x14ac:dyDescent="0.25">
      <c r="A79">
        <v>55</v>
      </c>
      <c r="B79">
        <v>3.3075195025592898E-3</v>
      </c>
      <c r="C79">
        <v>6.9248049744071198E-4</v>
      </c>
    </row>
    <row r="80" spans="1:3" x14ac:dyDescent="0.25">
      <c r="A80">
        <v>56</v>
      </c>
      <c r="B80">
        <v>1.39457721595499E-2</v>
      </c>
      <c r="C80">
        <v>-1.79457721595499E-2</v>
      </c>
    </row>
    <row r="81" spans="1:3" x14ac:dyDescent="0.25">
      <c r="A81">
        <v>57</v>
      </c>
      <c r="B81">
        <v>1.48429741908623E-2</v>
      </c>
      <c r="C81">
        <v>-1.28429741908623E-2</v>
      </c>
    </row>
    <row r="82" spans="1:3" x14ac:dyDescent="0.25">
      <c r="A82">
        <v>58</v>
      </c>
      <c r="B82">
        <v>1.22368159094309E-2</v>
      </c>
      <c r="C82">
        <v>-1.22368159094309E-2</v>
      </c>
    </row>
    <row r="83" spans="1:3" x14ac:dyDescent="0.25">
      <c r="A83">
        <v>59</v>
      </c>
      <c r="B83">
        <v>8.6052838779280896E-3</v>
      </c>
      <c r="C83">
        <v>-8.6052838779280896E-3</v>
      </c>
    </row>
    <row r="84" spans="1:3" x14ac:dyDescent="0.25">
      <c r="A84">
        <v>60</v>
      </c>
      <c r="B84">
        <v>9.7161054405054195E-3</v>
      </c>
      <c r="C84">
        <v>5.5983894559494603E-2</v>
      </c>
    </row>
    <row r="85" spans="1:3" x14ac:dyDescent="0.25">
      <c r="A85">
        <v>61</v>
      </c>
      <c r="B85">
        <v>1.0143344503035201E-2</v>
      </c>
      <c r="C85">
        <v>1.8256655496964799E-2</v>
      </c>
    </row>
    <row r="86" spans="1:3" x14ac:dyDescent="0.25">
      <c r="A86">
        <v>62</v>
      </c>
      <c r="B86">
        <v>8.5625599716751197E-3</v>
      </c>
      <c r="C86">
        <v>6.3744002832488396E-4</v>
      </c>
    </row>
    <row r="87" spans="1:3" x14ac:dyDescent="0.25">
      <c r="A87">
        <v>63</v>
      </c>
      <c r="B87">
        <v>5.7855060652317897E-3</v>
      </c>
      <c r="C87">
        <v>9.0114493934768197E-2</v>
      </c>
    </row>
    <row r="88" spans="1:3" x14ac:dyDescent="0.25">
      <c r="A88">
        <v>64</v>
      </c>
      <c r="B88">
        <v>8.2207687216513201E-3</v>
      </c>
      <c r="C88">
        <v>-2.4920768721651301E-2</v>
      </c>
    </row>
    <row r="89" spans="1:3" x14ac:dyDescent="0.25">
      <c r="A89">
        <v>65</v>
      </c>
      <c r="B89">
        <v>6.4263646590264102E-3</v>
      </c>
      <c r="C89">
        <v>-1.49263646590264E-2</v>
      </c>
    </row>
    <row r="90" spans="1:3" x14ac:dyDescent="0.25">
      <c r="A90">
        <v>66</v>
      </c>
      <c r="B90">
        <v>-4.3827836229760704E-3</v>
      </c>
      <c r="C90">
        <v>-6.40172163770239E-2</v>
      </c>
    </row>
    <row r="91" spans="1:3" x14ac:dyDescent="0.25">
      <c r="A91">
        <v>67</v>
      </c>
      <c r="B91">
        <v>1.25786071594547E-2</v>
      </c>
      <c r="C91">
        <v>2.4121392840545298E-2</v>
      </c>
    </row>
    <row r="92" spans="1:3" x14ac:dyDescent="0.25">
      <c r="A92">
        <v>68</v>
      </c>
      <c r="B92">
        <v>4.8455801276663596E-3</v>
      </c>
      <c r="C92">
        <v>-1.3645580127666399E-2</v>
      </c>
    </row>
    <row r="93" spans="1:3" x14ac:dyDescent="0.25">
      <c r="A93">
        <v>69</v>
      </c>
      <c r="B93">
        <v>2.64211527854183E-2</v>
      </c>
      <c r="C93">
        <v>-4.8721152785418297E-2</v>
      </c>
    </row>
    <row r="94" spans="1:3" x14ac:dyDescent="0.25">
      <c r="A94">
        <v>70</v>
      </c>
      <c r="B94">
        <v>6.4690885652793802E-3</v>
      </c>
      <c r="C94">
        <v>-3.8469088565279398E-2</v>
      </c>
    </row>
    <row r="95" spans="1:3" x14ac:dyDescent="0.25">
      <c r="A95">
        <v>71</v>
      </c>
      <c r="B95">
        <v>1.6637378253487201E-2</v>
      </c>
      <c r="C95">
        <v>-1.19373782534872E-2</v>
      </c>
    </row>
    <row r="96" spans="1:3" x14ac:dyDescent="0.25">
      <c r="A96">
        <v>72</v>
      </c>
      <c r="B96">
        <v>9.1179707529637794E-3</v>
      </c>
      <c r="C96">
        <v>2.37820292470362E-2</v>
      </c>
    </row>
    <row r="97" spans="1:3" x14ac:dyDescent="0.25">
      <c r="A97">
        <v>73</v>
      </c>
      <c r="B97">
        <v>3.6065868463301099E-3</v>
      </c>
      <c r="C97">
        <v>2.36934131536699E-2</v>
      </c>
    </row>
    <row r="98" spans="1:3" x14ac:dyDescent="0.25">
      <c r="A98">
        <v>74</v>
      </c>
      <c r="B98">
        <v>-5.9635681543361201E-3</v>
      </c>
      <c r="C98">
        <v>-7.3364318456638801E-3</v>
      </c>
    </row>
    <row r="99" spans="1:3" x14ac:dyDescent="0.25">
      <c r="A99">
        <v>75</v>
      </c>
      <c r="B99">
        <v>1.51847654408861E-2</v>
      </c>
      <c r="C99">
        <v>-2.8684765440886099E-2</v>
      </c>
    </row>
    <row r="100" spans="1:3" x14ac:dyDescent="0.25">
      <c r="A100">
        <v>76</v>
      </c>
      <c r="B100">
        <v>-7.8006961232140104E-3</v>
      </c>
      <c r="C100">
        <v>-3.7699303876786001E-2</v>
      </c>
    </row>
    <row r="101" spans="1:3" x14ac:dyDescent="0.25">
      <c r="A101">
        <v>77</v>
      </c>
      <c r="B101">
        <v>1.2493159346948699E-2</v>
      </c>
      <c r="C101">
        <v>1.8068406530512601E-3</v>
      </c>
    </row>
    <row r="102" spans="1:3" x14ac:dyDescent="0.25">
      <c r="A102">
        <v>78</v>
      </c>
      <c r="B102">
        <v>1.34221981492247E-3</v>
      </c>
      <c r="C102">
        <v>6.4357780185077498E-2</v>
      </c>
    </row>
    <row r="103" spans="1:3" x14ac:dyDescent="0.25">
      <c r="A103">
        <v>79</v>
      </c>
      <c r="B103">
        <v>1.83036105973532E-2</v>
      </c>
      <c r="C103">
        <v>3.6963894026467601E-3</v>
      </c>
    </row>
    <row r="104" spans="1:3" x14ac:dyDescent="0.25">
      <c r="A104">
        <v>80</v>
      </c>
      <c r="B104">
        <v>1.07842030968298E-2</v>
      </c>
      <c r="C104">
        <v>-1.93842030968298E-2</v>
      </c>
    </row>
    <row r="105" spans="1:3" x14ac:dyDescent="0.25">
      <c r="A105">
        <v>81</v>
      </c>
      <c r="B105">
        <v>1.0826927003082701E-2</v>
      </c>
      <c r="C105">
        <v>-1.95269270030827E-2</v>
      </c>
    </row>
    <row r="106" spans="1:3" x14ac:dyDescent="0.25">
      <c r="A106">
        <v>82</v>
      </c>
      <c r="B106">
        <v>8.69073169043404E-3</v>
      </c>
      <c r="C106">
        <v>4.50926830956596E-3</v>
      </c>
    </row>
    <row r="107" spans="1:3" x14ac:dyDescent="0.25">
      <c r="A107">
        <v>83</v>
      </c>
      <c r="B107">
        <v>-3.8700967479403802E-3</v>
      </c>
      <c r="C107">
        <v>-3.9429903252059598E-2</v>
      </c>
    </row>
    <row r="108" spans="1:3" x14ac:dyDescent="0.25">
      <c r="A108">
        <v>84</v>
      </c>
      <c r="B108">
        <v>-6.9462179981545297E-3</v>
      </c>
      <c r="C108">
        <v>3.86462179981545E-2</v>
      </c>
    </row>
    <row r="109" spans="1:3" x14ac:dyDescent="0.25">
      <c r="A109">
        <v>85</v>
      </c>
      <c r="B109">
        <v>2.2276933878879801E-2</v>
      </c>
      <c r="C109">
        <v>3.03230661211202E-2</v>
      </c>
    </row>
    <row r="110" spans="1:3" x14ac:dyDescent="0.25">
      <c r="A110">
        <v>86</v>
      </c>
      <c r="B110">
        <v>7.4944623153507597E-3</v>
      </c>
      <c r="C110">
        <v>1.75055376846492E-2</v>
      </c>
    </row>
    <row r="111" spans="1:3" x14ac:dyDescent="0.25">
      <c r="A111">
        <v>87</v>
      </c>
      <c r="B111">
        <v>6.8536037215561497E-3</v>
      </c>
      <c r="C111">
        <v>-1.4953603721556101E-2</v>
      </c>
    </row>
    <row r="112" spans="1:3" x14ac:dyDescent="0.25">
      <c r="A112">
        <v>88</v>
      </c>
      <c r="B112">
        <v>1.0826927003082701E-2</v>
      </c>
      <c r="C112">
        <v>1.4730729969172501E-3</v>
      </c>
    </row>
    <row r="113" spans="1:3" x14ac:dyDescent="0.25">
      <c r="A113">
        <v>89</v>
      </c>
      <c r="B113">
        <v>1.8867434609216901E-4</v>
      </c>
      <c r="C113">
        <v>3.8113256539078302E-3</v>
      </c>
    </row>
    <row r="114" spans="1:3" x14ac:dyDescent="0.25">
      <c r="A114">
        <v>90</v>
      </c>
      <c r="B114">
        <v>9.0752468467108095E-3</v>
      </c>
      <c r="C114">
        <v>4.7424753153289201E-2</v>
      </c>
    </row>
    <row r="115" spans="1:3" x14ac:dyDescent="0.25">
      <c r="A115">
        <v>91</v>
      </c>
      <c r="B115">
        <v>2.0311634191242999E-2</v>
      </c>
      <c r="C115">
        <v>6.3883658087569703E-3</v>
      </c>
    </row>
    <row r="116" spans="1:3" x14ac:dyDescent="0.25">
      <c r="A116">
        <v>92</v>
      </c>
      <c r="B116">
        <v>-1.6911775290387001E-3</v>
      </c>
      <c r="C116">
        <v>-2.4308822470961299E-2</v>
      </c>
    </row>
    <row r="117" spans="1:3" x14ac:dyDescent="0.25">
      <c r="A117">
        <v>93</v>
      </c>
      <c r="B117">
        <v>1.00042856489868E-3</v>
      </c>
      <c r="C117">
        <v>6.5995714351013198E-3</v>
      </c>
    </row>
    <row r="118" spans="1:3" x14ac:dyDescent="0.25">
      <c r="A118">
        <v>94</v>
      </c>
      <c r="B118">
        <v>1.5355661065898E-2</v>
      </c>
      <c r="C118">
        <v>-1.9155661065898E-2</v>
      </c>
    </row>
    <row r="119" spans="1:3" x14ac:dyDescent="0.25">
      <c r="A119">
        <v>95</v>
      </c>
      <c r="B119">
        <v>-8.4842786232615999E-3</v>
      </c>
      <c r="C119">
        <v>6.92842786232616E-2</v>
      </c>
    </row>
    <row r="120" spans="1:3" x14ac:dyDescent="0.25">
      <c r="A120">
        <v>96</v>
      </c>
      <c r="B120">
        <v>7.3662905965918403E-3</v>
      </c>
      <c r="C120">
        <v>-3.2466290596591799E-2</v>
      </c>
    </row>
    <row r="121" spans="1:3" x14ac:dyDescent="0.25">
      <c r="A121">
        <v>97</v>
      </c>
      <c r="B121">
        <v>1.42448395033207E-2</v>
      </c>
      <c r="C121">
        <v>2.25551604966793E-2</v>
      </c>
    </row>
    <row r="122" spans="1:3" x14ac:dyDescent="0.25">
      <c r="A122">
        <v>98</v>
      </c>
      <c r="B122">
        <v>4.4610649713895901E-3</v>
      </c>
      <c r="C122">
        <v>1.6838935028610402E-2</v>
      </c>
    </row>
    <row r="123" spans="1:3" x14ac:dyDescent="0.25">
      <c r="A123">
        <v>99</v>
      </c>
      <c r="B123">
        <v>6.5972602840382996E-3</v>
      </c>
      <c r="C123">
        <v>-1.34972602840383E-2</v>
      </c>
    </row>
    <row r="124" spans="1:3" x14ac:dyDescent="0.25">
      <c r="A124">
        <v>100</v>
      </c>
      <c r="B124">
        <v>4.8028562214133897E-3</v>
      </c>
      <c r="C124">
        <v>-4.8028562214133897E-3</v>
      </c>
    </row>
    <row r="125" spans="1:3" x14ac:dyDescent="0.25">
      <c r="A125">
        <v>101</v>
      </c>
      <c r="B125">
        <v>2.65920484104302E-2</v>
      </c>
      <c r="C125">
        <v>3.9807951589569797E-2</v>
      </c>
    </row>
    <row r="126" spans="1:3" x14ac:dyDescent="0.25">
      <c r="A126">
        <v>102</v>
      </c>
      <c r="B126">
        <v>1.1040546534347599E-2</v>
      </c>
      <c r="C126">
        <v>-1.43405465343476E-2</v>
      </c>
    </row>
    <row r="127" spans="1:3" x14ac:dyDescent="0.25">
      <c r="A127">
        <v>103</v>
      </c>
      <c r="B127">
        <v>2.4103174712468301E-3</v>
      </c>
      <c r="C127">
        <v>7.4896825287531698E-3</v>
      </c>
    </row>
    <row r="128" spans="1:3" x14ac:dyDescent="0.25">
      <c r="A128">
        <v>104</v>
      </c>
      <c r="B128">
        <v>8.7334555966870099E-3</v>
      </c>
      <c r="C128">
        <v>-3.1533455596687E-2</v>
      </c>
    </row>
    <row r="129" spans="1:3" x14ac:dyDescent="0.25">
      <c r="A129" s="85">
        <v>105</v>
      </c>
      <c r="B129" s="85">
        <v>1.5911071847186702E-2</v>
      </c>
      <c r="C129" s="85">
        <v>2.0788928152813298E-2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04AD-6CA0-484E-A472-CCDFDD19650C}">
  <dimension ref="A1:I75"/>
  <sheetViews>
    <sheetView topLeftCell="D1" workbookViewId="0">
      <selection activeCell="E3" sqref="E3:F3"/>
    </sheetView>
  </sheetViews>
  <sheetFormatPr defaultRowHeight="14.4" x14ac:dyDescent="0.25"/>
  <sheetData>
    <row r="1" spans="1:9" x14ac:dyDescent="0.25">
      <c r="A1" t="s">
        <v>5</v>
      </c>
    </row>
    <row r="2" spans="1:9" ht="15" thickBot="1" x14ac:dyDescent="0.3"/>
    <row r="3" spans="1:9" ht="15" x14ac:dyDescent="0.3">
      <c r="A3" s="83" t="s">
        <v>6</v>
      </c>
      <c r="B3" s="83"/>
    </row>
    <row r="4" spans="1:9" x14ac:dyDescent="0.25">
      <c r="A4" t="s">
        <v>7</v>
      </c>
      <c r="B4">
        <v>0.32851690347931217</v>
      </c>
    </row>
    <row r="5" spans="1:9" ht="15" x14ac:dyDescent="0.3">
      <c r="A5" t="s">
        <v>8</v>
      </c>
      <c r="B5" s="106">
        <v>0.10792335587163571</v>
      </c>
    </row>
    <row r="6" spans="1:9" x14ac:dyDescent="0.25">
      <c r="A6" t="s">
        <v>9</v>
      </c>
      <c r="B6">
        <v>8.9717710073097659E-2</v>
      </c>
    </row>
    <row r="7" spans="1:9" x14ac:dyDescent="0.25">
      <c r="A7" t="s">
        <v>10</v>
      </c>
      <c r="B7">
        <v>3.3118018735016075E-2</v>
      </c>
    </row>
    <row r="8" spans="1:9" ht="15" thickBot="1" x14ac:dyDescent="0.3">
      <c r="A8" s="85" t="s">
        <v>11</v>
      </c>
      <c r="B8" s="85">
        <v>51</v>
      </c>
    </row>
    <row r="10" spans="1:9" ht="15" thickBot="1" x14ac:dyDescent="0.3">
      <c r="A10" t="s">
        <v>12</v>
      </c>
    </row>
    <row r="11" spans="1:9" ht="15" x14ac:dyDescent="0.3">
      <c r="A11" s="86"/>
      <c r="B11" s="86" t="s">
        <v>13</v>
      </c>
      <c r="C11" s="86" t="s">
        <v>14</v>
      </c>
      <c r="D11" s="86" t="s">
        <v>15</v>
      </c>
      <c r="E11" s="86" t="s">
        <v>16</v>
      </c>
      <c r="F11" s="86" t="s">
        <v>17</v>
      </c>
    </row>
    <row r="12" spans="1:9" x14ac:dyDescent="0.25">
      <c r="A12" t="s">
        <v>18</v>
      </c>
      <c r="B12">
        <v>1</v>
      </c>
      <c r="C12">
        <v>6.501866486916523E-3</v>
      </c>
      <c r="D12">
        <v>6.501866486916523E-3</v>
      </c>
      <c r="E12">
        <v>5.9280157960835531</v>
      </c>
      <c r="F12">
        <v>1.8589833662292596E-2</v>
      </c>
    </row>
    <row r="13" spans="1:9" x14ac:dyDescent="0.25">
      <c r="A13" t="s">
        <v>19</v>
      </c>
      <c r="B13">
        <v>49</v>
      </c>
      <c r="C13">
        <v>5.3743355081710922E-2</v>
      </c>
      <c r="D13">
        <v>1.0968031649328759E-3</v>
      </c>
    </row>
    <row r="14" spans="1:9" ht="15" thickBot="1" x14ac:dyDescent="0.3">
      <c r="A14" s="85" t="s">
        <v>20</v>
      </c>
      <c r="B14" s="85">
        <v>50</v>
      </c>
      <c r="C14" s="85">
        <v>6.0245221568627445E-2</v>
      </c>
      <c r="D14" s="85"/>
      <c r="E14" s="85"/>
      <c r="F14" s="85"/>
    </row>
    <row r="15" spans="1:9" ht="15" thickBot="1" x14ac:dyDescent="0.3"/>
    <row r="16" spans="1:9" ht="15" x14ac:dyDescent="0.3">
      <c r="A16" s="86"/>
      <c r="B16" s="86" t="s">
        <v>21</v>
      </c>
      <c r="C16" s="86" t="s">
        <v>10</v>
      </c>
      <c r="D16" s="86" t="s">
        <v>22</v>
      </c>
      <c r="E16" s="86" t="s">
        <v>23</v>
      </c>
      <c r="F16" s="86" t="s">
        <v>24</v>
      </c>
      <c r="G16" s="86" t="s">
        <v>25</v>
      </c>
      <c r="H16" s="86" t="s">
        <v>26</v>
      </c>
      <c r="I16" s="86" t="s">
        <v>27</v>
      </c>
    </row>
    <row r="17" spans="1:9" x14ac:dyDescent="0.25">
      <c r="A17" t="s">
        <v>28</v>
      </c>
      <c r="B17">
        <v>1.978957403165664E-3</v>
      </c>
      <c r="C17">
        <v>4.8625271896450819E-3</v>
      </c>
      <c r="D17">
        <v>0.40698125192593709</v>
      </c>
      <c r="E17">
        <v>0.68579414176204379</v>
      </c>
      <c r="F17">
        <v>-7.7926568270127224E-3</v>
      </c>
      <c r="G17">
        <v>1.175057163334405E-2</v>
      </c>
      <c r="H17">
        <v>-7.7926568270127224E-3</v>
      </c>
      <c r="I17">
        <v>1.175057163334405E-2</v>
      </c>
    </row>
    <row r="18" spans="1:9" ht="15.6" thickBot="1" x14ac:dyDescent="0.35">
      <c r="A18" s="85" t="s">
        <v>29</v>
      </c>
      <c r="B18" s="105">
        <v>0.48666087493581117</v>
      </c>
      <c r="C18" s="85">
        <v>0.19988111180506529</v>
      </c>
      <c r="D18" s="85">
        <v>2.4347516908472513</v>
      </c>
      <c r="E18" s="85">
        <v>1.8589833662292596E-2</v>
      </c>
      <c r="F18" s="85">
        <v>8.4984742282491199E-2</v>
      </c>
      <c r="G18" s="85">
        <v>0.88833700758913114</v>
      </c>
      <c r="H18" s="85">
        <v>8.4984742282491199E-2</v>
      </c>
      <c r="I18" s="85">
        <v>0.88833700758913114</v>
      </c>
    </row>
    <row r="22" spans="1:9" x14ac:dyDescent="0.25">
      <c r="A22" t="s">
        <v>30</v>
      </c>
      <c r="F22" t="s">
        <v>136</v>
      </c>
    </row>
    <row r="23" spans="1:9" ht="15" thickBot="1" x14ac:dyDescent="0.3"/>
    <row r="24" spans="1:9" ht="15" x14ac:dyDescent="0.3">
      <c r="A24" s="86" t="s">
        <v>31</v>
      </c>
      <c r="B24" s="86" t="s">
        <v>32</v>
      </c>
      <c r="C24" s="86" t="s">
        <v>33</v>
      </c>
      <c r="D24" s="86" t="s">
        <v>135</v>
      </c>
      <c r="F24" s="86" t="s">
        <v>137</v>
      </c>
      <c r="G24" s="86" t="s">
        <v>138</v>
      </c>
    </row>
    <row r="25" spans="1:9" x14ac:dyDescent="0.25">
      <c r="A25">
        <v>1</v>
      </c>
      <c r="B25">
        <v>7.5268913774339113E-3</v>
      </c>
      <c r="C25">
        <v>8.5731086225660884E-3</v>
      </c>
      <c r="D25">
        <v>0.26149352589897401</v>
      </c>
      <c r="F25">
        <v>0.98039215686274506</v>
      </c>
      <c r="G25">
        <v>-6.9900000000000004E-2</v>
      </c>
    </row>
    <row r="26" spans="1:9" x14ac:dyDescent="0.25">
      <c r="A26">
        <v>2</v>
      </c>
      <c r="B26">
        <v>8.7435435647734393E-3</v>
      </c>
      <c r="C26">
        <v>7.5645643522656049E-4</v>
      </c>
      <c r="D26">
        <v>2.3073131246196022E-2</v>
      </c>
      <c r="F26">
        <v>2.9411764705882351</v>
      </c>
      <c r="G26">
        <v>-6.6299999999999998E-2</v>
      </c>
    </row>
    <row r="27" spans="1:9" x14ac:dyDescent="0.25">
      <c r="A27">
        <v>3</v>
      </c>
      <c r="B27">
        <v>8.208216602344047E-3</v>
      </c>
      <c r="C27">
        <v>-2.3908216602344046E-2</v>
      </c>
      <c r="D27">
        <v>-0.72923884818714002</v>
      </c>
      <c r="F27">
        <v>4.901960784313725</v>
      </c>
      <c r="G27">
        <v>-5.7700000000000001E-2</v>
      </c>
    </row>
    <row r="28" spans="1:9" x14ac:dyDescent="0.25">
      <c r="A28">
        <v>4</v>
      </c>
      <c r="B28">
        <v>3.633604377947422E-3</v>
      </c>
      <c r="C28">
        <v>1.8666395622052578E-2</v>
      </c>
      <c r="D28">
        <v>0.56935492385895903</v>
      </c>
      <c r="F28">
        <v>6.8627450980392153</v>
      </c>
      <c r="G28">
        <v>-5.5E-2</v>
      </c>
    </row>
    <row r="29" spans="1:9" x14ac:dyDescent="0.25">
      <c r="A29">
        <v>5</v>
      </c>
      <c r="B29">
        <v>4.6555922153126254E-3</v>
      </c>
      <c r="C29">
        <v>4.6444077846873738E-3</v>
      </c>
      <c r="D29">
        <v>0.14166186628427757</v>
      </c>
      <c r="F29">
        <v>8.8235294117647047</v>
      </c>
      <c r="G29">
        <v>-5.16E-2</v>
      </c>
    </row>
    <row r="30" spans="1:9" x14ac:dyDescent="0.25">
      <c r="A30">
        <v>6</v>
      </c>
      <c r="B30">
        <v>1.6481451476252837E-2</v>
      </c>
      <c r="C30">
        <v>8.2185485237471628E-3</v>
      </c>
      <c r="D30">
        <v>0.25067887575687675</v>
      </c>
      <c r="F30">
        <v>10.784313725490195</v>
      </c>
      <c r="G30">
        <v>-4.4699999999999997E-2</v>
      </c>
    </row>
    <row r="31" spans="1:9" x14ac:dyDescent="0.25">
      <c r="A31">
        <v>7</v>
      </c>
      <c r="B31">
        <v>6.1642409276136401E-3</v>
      </c>
      <c r="C31">
        <v>-1.216424092761364E-2</v>
      </c>
      <c r="D31">
        <v>-0.37102880531265264</v>
      </c>
      <c r="F31">
        <v>12.745098039215685</v>
      </c>
      <c r="G31">
        <v>-3.0099999999999998E-2</v>
      </c>
    </row>
    <row r="32" spans="1:9" x14ac:dyDescent="0.25">
      <c r="A32">
        <v>8</v>
      </c>
      <c r="B32">
        <v>-1.1356721964235275E-3</v>
      </c>
      <c r="C32">
        <v>7.2356721964235279E-3</v>
      </c>
      <c r="D32">
        <v>0.22069957563720069</v>
      </c>
      <c r="F32">
        <v>14.705882352941176</v>
      </c>
      <c r="G32">
        <v>-2.7199999999999998E-2</v>
      </c>
    </row>
    <row r="33" spans="1:7" x14ac:dyDescent="0.25">
      <c r="A33">
        <v>9</v>
      </c>
      <c r="B33">
        <v>7.9162200773825603E-3</v>
      </c>
      <c r="C33">
        <v>-7.4216220077382558E-2</v>
      </c>
      <c r="D33">
        <v>-2.2637134231387006</v>
      </c>
      <c r="F33">
        <v>16.666666666666664</v>
      </c>
      <c r="G33">
        <v>-2.52E-2</v>
      </c>
    </row>
    <row r="34" spans="1:7" x14ac:dyDescent="0.25">
      <c r="A34">
        <v>10</v>
      </c>
      <c r="B34">
        <v>2.1786055013053179E-2</v>
      </c>
      <c r="C34">
        <v>1.3713944986946818E-2</v>
      </c>
      <c r="D34">
        <v>0.41829725791435202</v>
      </c>
      <c r="F34">
        <v>18.627450980392155</v>
      </c>
      <c r="G34">
        <v>-1.61E-2</v>
      </c>
    </row>
    <row r="35" spans="1:7" x14ac:dyDescent="0.25">
      <c r="A35">
        <v>11</v>
      </c>
      <c r="B35">
        <v>3.0009452405308674E-3</v>
      </c>
      <c r="C35">
        <v>-9.2009452405308681E-3</v>
      </c>
      <c r="D35">
        <v>-0.28064354698793537</v>
      </c>
      <c r="F35">
        <v>20.588235294117645</v>
      </c>
      <c r="G35">
        <v>-1.6E-2</v>
      </c>
    </row>
    <row r="36" spans="1:7" x14ac:dyDescent="0.25">
      <c r="A36">
        <v>12</v>
      </c>
      <c r="B36">
        <v>1.3026159264208578E-2</v>
      </c>
      <c r="C36">
        <v>1.2073840735791423E-2</v>
      </c>
      <c r="D36">
        <v>0.36827145486461182</v>
      </c>
      <c r="F36">
        <v>22.549019607843135</v>
      </c>
      <c r="G36">
        <v>-1.5699999999999999E-2</v>
      </c>
    </row>
    <row r="37" spans="1:7" x14ac:dyDescent="0.25">
      <c r="A37">
        <v>13</v>
      </c>
      <c r="B37">
        <v>-3.6759248241724905E-2</v>
      </c>
      <c r="C37">
        <v>-1.8240751758275095E-2</v>
      </c>
      <c r="D37">
        <v>-0.5563721051852909</v>
      </c>
      <c r="F37">
        <v>24.509803921568626</v>
      </c>
      <c r="G37">
        <v>-1.4999999999999999E-2</v>
      </c>
    </row>
    <row r="38" spans="1:7" x14ac:dyDescent="0.25">
      <c r="A38">
        <v>14</v>
      </c>
      <c r="B38">
        <v>-2.595654821230961E-3</v>
      </c>
      <c r="C38">
        <v>-2.2604345178769039E-2</v>
      </c>
      <c r="D38">
        <v>-0.68946868419177365</v>
      </c>
      <c r="F38">
        <v>26.470588235294116</v>
      </c>
      <c r="G38">
        <v>-1.29E-2</v>
      </c>
    </row>
    <row r="39" spans="1:7" x14ac:dyDescent="0.25">
      <c r="A39">
        <v>15</v>
      </c>
      <c r="B39">
        <v>2.0277406300752164E-2</v>
      </c>
      <c r="C39">
        <v>-3.0877406300752162E-2</v>
      </c>
      <c r="D39">
        <v>-0.941810281389169</v>
      </c>
      <c r="F39">
        <v>28.431372549019606</v>
      </c>
      <c r="G39">
        <v>-1.0800000000000001E-2</v>
      </c>
    </row>
    <row r="40" spans="1:7" x14ac:dyDescent="0.25">
      <c r="A40">
        <v>16</v>
      </c>
      <c r="B40">
        <v>2.0764067175687975E-2</v>
      </c>
      <c r="C40">
        <v>-3.6864067175687978E-2</v>
      </c>
      <c r="D40">
        <v>-1.1244130138948289</v>
      </c>
      <c r="F40">
        <v>30.392156862745097</v>
      </c>
      <c r="G40">
        <v>-1.06E-2</v>
      </c>
    </row>
    <row r="41" spans="1:7" x14ac:dyDescent="0.25">
      <c r="A41">
        <v>17</v>
      </c>
      <c r="B41">
        <v>7.818887902395398E-3</v>
      </c>
      <c r="C41">
        <v>5.0881112097604604E-2</v>
      </c>
      <c r="D41">
        <v>1.5519553046420067</v>
      </c>
      <c r="F41">
        <v>32.352941176470587</v>
      </c>
      <c r="G41">
        <v>-1.06E-2</v>
      </c>
    </row>
    <row r="42" spans="1:7" x14ac:dyDescent="0.25">
      <c r="A42">
        <v>18</v>
      </c>
      <c r="B42">
        <v>8.8408757397606015E-3</v>
      </c>
      <c r="C42">
        <v>6.5859124260239404E-2</v>
      </c>
      <c r="D42">
        <v>2.0088086333232389</v>
      </c>
      <c r="F42">
        <v>34.31372549019607</v>
      </c>
      <c r="G42">
        <v>-9.1999999999999998E-3</v>
      </c>
    </row>
    <row r="43" spans="1:7" x14ac:dyDescent="0.25">
      <c r="A43">
        <v>19</v>
      </c>
      <c r="B43">
        <v>1.6870780176201486E-2</v>
      </c>
      <c r="C43">
        <v>2.9929219823798515E-2</v>
      </c>
      <c r="D43">
        <v>0.91288907719309742</v>
      </c>
      <c r="F43">
        <v>36.274509803921561</v>
      </c>
      <c r="G43">
        <v>-6.1999999999999998E-3</v>
      </c>
    </row>
    <row r="44" spans="1:7" x14ac:dyDescent="0.25">
      <c r="A44">
        <v>20</v>
      </c>
      <c r="B44">
        <v>1.4922965282298528E-3</v>
      </c>
      <c r="C44">
        <v>-1.0692296528229853E-2</v>
      </c>
      <c r="D44">
        <v>-0.32613214671801266</v>
      </c>
      <c r="F44">
        <v>38.235294117647051</v>
      </c>
      <c r="G44">
        <v>-6.0000000000000001E-3</v>
      </c>
    </row>
    <row r="45" spans="1:7" x14ac:dyDescent="0.25">
      <c r="A45">
        <v>21</v>
      </c>
      <c r="B45">
        <v>9.7655314021386427E-3</v>
      </c>
      <c r="C45">
        <v>-5.1655314021386428E-3</v>
      </c>
      <c r="D45">
        <v>-0.15755697016735098</v>
      </c>
      <c r="F45">
        <v>40.196078431372541</v>
      </c>
      <c r="G45">
        <v>-4.1999999999999997E-3</v>
      </c>
    </row>
    <row r="46" spans="1:7" x14ac:dyDescent="0.25">
      <c r="A46">
        <v>22</v>
      </c>
      <c r="B46">
        <v>5.0935870027548555E-3</v>
      </c>
      <c r="C46">
        <v>-2.0093587002754855E-2</v>
      </c>
      <c r="D46">
        <v>-0.61288654380019314</v>
      </c>
      <c r="F46">
        <v>42.156862745098032</v>
      </c>
      <c r="G46">
        <v>0</v>
      </c>
    </row>
    <row r="47" spans="1:7" x14ac:dyDescent="0.25">
      <c r="A47">
        <v>23</v>
      </c>
      <c r="B47">
        <v>3.2313903422419299E-5</v>
      </c>
      <c r="C47">
        <v>-1.2932313903422419E-2</v>
      </c>
      <c r="D47">
        <v>-0.39445625962756581</v>
      </c>
      <c r="F47">
        <v>44.117647058823522</v>
      </c>
      <c r="G47">
        <v>2.3E-3</v>
      </c>
    </row>
    <row r="48" spans="1:7" x14ac:dyDescent="0.25">
      <c r="A48">
        <v>24</v>
      </c>
      <c r="B48">
        <v>-6.8782705206660993E-3</v>
      </c>
      <c r="C48">
        <v>4.2378270520666096E-2</v>
      </c>
      <c r="D48">
        <v>1.292605036028645</v>
      </c>
      <c r="F48">
        <v>46.078431372549012</v>
      </c>
      <c r="G48">
        <v>4.0000000000000001E-3</v>
      </c>
    </row>
    <row r="49" spans="1:7" x14ac:dyDescent="0.25">
      <c r="A49">
        <v>25</v>
      </c>
      <c r="B49">
        <v>2.2224049800495409E-2</v>
      </c>
      <c r="C49">
        <v>5.6675950199504589E-2</v>
      </c>
      <c r="D49">
        <v>1.7287071357445485</v>
      </c>
      <c r="F49">
        <v>48.039215686274503</v>
      </c>
      <c r="G49">
        <v>4.5999999999999999E-3</v>
      </c>
    </row>
    <row r="50" spans="1:7" x14ac:dyDescent="0.25">
      <c r="A50">
        <v>26</v>
      </c>
      <c r="B50">
        <v>1.2636830564259929E-2</v>
      </c>
      <c r="C50">
        <v>-1.6836830564259928E-2</v>
      </c>
      <c r="D50">
        <v>-0.51355026315928387</v>
      </c>
      <c r="F50">
        <v>49.999999999999993</v>
      </c>
      <c r="G50">
        <v>6.1000000000000004E-3</v>
      </c>
    </row>
    <row r="51" spans="1:7" x14ac:dyDescent="0.25">
      <c r="A51">
        <v>27</v>
      </c>
      <c r="B51">
        <v>1.2636830564259929E-2</v>
      </c>
      <c r="C51">
        <v>-2.8636830564259929E-2</v>
      </c>
      <c r="D51">
        <v>-0.87346913756686251</v>
      </c>
      <c r="F51">
        <v>51.960784313725483</v>
      </c>
      <c r="G51">
        <v>6.4999999999999997E-3</v>
      </c>
    </row>
    <row r="52" spans="1:7" x14ac:dyDescent="0.25">
      <c r="A52">
        <v>28</v>
      </c>
      <c r="B52">
        <v>8.2568826898376281E-3</v>
      </c>
      <c r="C52">
        <v>-1.9056882689837629E-2</v>
      </c>
      <c r="D52">
        <v>-0.58126540402064641</v>
      </c>
      <c r="F52">
        <v>53.921568627450974</v>
      </c>
      <c r="G52">
        <v>9.2999999999999992E-3</v>
      </c>
    </row>
    <row r="53" spans="1:7" x14ac:dyDescent="0.25">
      <c r="A53">
        <v>29</v>
      </c>
      <c r="B53">
        <v>-2.157660033788731E-3</v>
      </c>
      <c r="C53">
        <v>2.9457660033788732E-2</v>
      </c>
      <c r="D53">
        <v>0.89850574932562322</v>
      </c>
      <c r="F53">
        <v>55.882352941176464</v>
      </c>
      <c r="G53">
        <v>9.4999999999999998E-3</v>
      </c>
    </row>
    <row r="54" spans="1:7" x14ac:dyDescent="0.25">
      <c r="A54">
        <v>30</v>
      </c>
      <c r="B54">
        <v>-1.6235044655190517E-4</v>
      </c>
      <c r="C54">
        <v>-1.0437649553448095E-2</v>
      </c>
      <c r="D54">
        <v>-0.31836500667269524</v>
      </c>
      <c r="F54">
        <v>57.843137254901954</v>
      </c>
      <c r="G54">
        <v>1.12E-2</v>
      </c>
    </row>
    <row r="55" spans="1:7" x14ac:dyDescent="0.25">
      <c r="A55">
        <v>31</v>
      </c>
      <c r="B55">
        <v>2.9329298574558252E-2</v>
      </c>
      <c r="C55">
        <v>-2.2829298574558253E-2</v>
      </c>
      <c r="D55">
        <v>-0.69633012258216487</v>
      </c>
      <c r="F55">
        <v>59.803921568627445</v>
      </c>
      <c r="G55">
        <v>1.3899999999999999E-2</v>
      </c>
    </row>
    <row r="56" spans="1:7" x14ac:dyDescent="0.25">
      <c r="A56">
        <v>32</v>
      </c>
      <c r="B56">
        <v>1.5167467113926147E-2</v>
      </c>
      <c r="C56">
        <v>2.8632532886073852E-2</v>
      </c>
      <c r="D56">
        <v>0.87333805150793886</v>
      </c>
      <c r="F56">
        <v>61.764705882352935</v>
      </c>
      <c r="G56">
        <v>1.47E-2</v>
      </c>
    </row>
    <row r="57" spans="1:7" x14ac:dyDescent="0.25">
      <c r="A57">
        <v>33</v>
      </c>
      <c r="B57">
        <v>-3.1309817836603533E-3</v>
      </c>
      <c r="C57">
        <v>6.5030981783660347E-2</v>
      </c>
      <c r="D57">
        <v>1.9835489631520999</v>
      </c>
      <c r="F57">
        <v>63.725490196078425</v>
      </c>
      <c r="G57">
        <v>1.61E-2</v>
      </c>
    </row>
    <row r="58" spans="1:7" x14ac:dyDescent="0.25">
      <c r="A58">
        <v>34</v>
      </c>
      <c r="B58">
        <v>-1.7049482806824553E-2</v>
      </c>
      <c r="C58">
        <v>-5.2850517193175447E-2</v>
      </c>
      <c r="D58">
        <v>-1.6120253101717024</v>
      </c>
      <c r="F58">
        <v>65.686274509803923</v>
      </c>
      <c r="G58">
        <v>1.7500000000000002E-2</v>
      </c>
    </row>
    <row r="59" spans="1:7" x14ac:dyDescent="0.25">
      <c r="A59">
        <v>35</v>
      </c>
      <c r="B59">
        <v>2.3196200156207318E-3</v>
      </c>
      <c r="C59">
        <v>-2.3196200156207318E-3</v>
      </c>
      <c r="D59">
        <v>-7.0752120769110485E-2</v>
      </c>
      <c r="F59">
        <v>67.647058823529406</v>
      </c>
      <c r="G59">
        <v>2.07E-2</v>
      </c>
    </row>
    <row r="60" spans="1:7" x14ac:dyDescent="0.25">
      <c r="A60">
        <v>36</v>
      </c>
      <c r="B60">
        <v>1.1517510551907563E-2</v>
      </c>
      <c r="C60">
        <v>-4.1617510551907558E-2</v>
      </c>
      <c r="D60">
        <v>-1.2694006401261095</v>
      </c>
      <c r="F60">
        <v>69.607843137254903</v>
      </c>
      <c r="G60">
        <v>2.23E-2</v>
      </c>
    </row>
    <row r="61" spans="1:7" x14ac:dyDescent="0.25">
      <c r="A61">
        <v>37</v>
      </c>
      <c r="B61">
        <v>-5.6129522458329903E-3</v>
      </c>
      <c r="C61">
        <v>-5.2087047754167011E-2</v>
      </c>
      <c r="D61">
        <v>-1.5887382710926767</v>
      </c>
      <c r="F61">
        <v>71.568627450980387</v>
      </c>
      <c r="G61">
        <v>2.47E-2</v>
      </c>
    </row>
    <row r="62" spans="1:7" x14ac:dyDescent="0.25">
      <c r="A62">
        <v>38</v>
      </c>
      <c r="B62">
        <v>2.3196200156207318E-3</v>
      </c>
      <c r="C62">
        <v>-2.951962001562073E-2</v>
      </c>
      <c r="D62">
        <v>-0.90039562787810523</v>
      </c>
      <c r="F62">
        <v>73.529411764705884</v>
      </c>
      <c r="G62">
        <v>2.5100000000000001E-2</v>
      </c>
    </row>
    <row r="63" spans="1:7" x14ac:dyDescent="0.25">
      <c r="A63">
        <v>39</v>
      </c>
      <c r="B63">
        <v>1.2734162739247091E-2</v>
      </c>
      <c r="C63">
        <v>4.7658372607529108E-3</v>
      </c>
      <c r="D63">
        <v>0.14536565953388858</v>
      </c>
      <c r="F63">
        <v>75.490196078431367</v>
      </c>
      <c r="G63">
        <v>2.7300000000000001E-2</v>
      </c>
    </row>
    <row r="64" spans="1:7" x14ac:dyDescent="0.25">
      <c r="A64">
        <v>40</v>
      </c>
      <c r="B64">
        <v>9.8141974896322239E-3</v>
      </c>
      <c r="C64">
        <v>-7.5141974896322239E-3</v>
      </c>
      <c r="D64">
        <v>-0.22919504258853243</v>
      </c>
      <c r="F64">
        <v>77.450980392156865</v>
      </c>
      <c r="G64">
        <v>3.4700000000000002E-2</v>
      </c>
    </row>
    <row r="65" spans="1:7" x14ac:dyDescent="0.25">
      <c r="A65">
        <v>41</v>
      </c>
      <c r="B65">
        <v>-2.6296039430604965E-2</v>
      </c>
      <c r="C65">
        <v>6.6296039430604969E-2</v>
      </c>
      <c r="D65">
        <v>2.0221352448765924</v>
      </c>
      <c r="F65">
        <v>79.411764705882348</v>
      </c>
      <c r="G65">
        <v>3.5499999999999997E-2</v>
      </c>
    </row>
    <row r="66" spans="1:7" x14ac:dyDescent="0.25">
      <c r="A66">
        <v>42</v>
      </c>
      <c r="B66">
        <v>7.818887902395398E-3</v>
      </c>
      <c r="C66">
        <v>3.83811120976046E-2</v>
      </c>
      <c r="D66">
        <v>1.1706853105661819</v>
      </c>
      <c r="F66">
        <v>81.372549019607845</v>
      </c>
      <c r="G66">
        <v>3.5499999999999997E-2</v>
      </c>
    </row>
    <row r="67" spans="1:7" x14ac:dyDescent="0.25">
      <c r="A67">
        <v>43</v>
      </c>
      <c r="B67">
        <v>-1.9629956838144065E-3</v>
      </c>
      <c r="C67">
        <v>3.6662995683814412E-2</v>
      </c>
      <c r="D67">
        <v>1.1182800117735929</v>
      </c>
      <c r="F67">
        <v>83.333333333333329</v>
      </c>
      <c r="G67">
        <v>0.04</v>
      </c>
    </row>
    <row r="68" spans="1:7" x14ac:dyDescent="0.25">
      <c r="A68">
        <v>44</v>
      </c>
      <c r="B68">
        <v>-6.5018271564742935E-5</v>
      </c>
      <c r="C68">
        <v>-4.4634981728435254E-2</v>
      </c>
      <c r="D68">
        <v>-1.3614383375340047</v>
      </c>
      <c r="F68">
        <v>85.294117647058826</v>
      </c>
      <c r="G68">
        <v>4.3799999999999999E-2</v>
      </c>
    </row>
    <row r="69" spans="1:7" x14ac:dyDescent="0.25">
      <c r="A69">
        <v>45</v>
      </c>
      <c r="B69">
        <v>1.9742079338322772E-2</v>
      </c>
      <c r="C69">
        <v>3.1257920661677221E-2</v>
      </c>
      <c r="D69">
        <v>0.953416578040022</v>
      </c>
      <c r="F69">
        <v>87.254901960784309</v>
      </c>
      <c r="G69">
        <v>4.6199999999999998E-2</v>
      </c>
    </row>
    <row r="70" spans="1:7" x14ac:dyDescent="0.25">
      <c r="A70">
        <v>46</v>
      </c>
      <c r="B70">
        <v>2.5142843655950563E-3</v>
      </c>
      <c r="C70">
        <v>-5.4114284365595053E-2</v>
      </c>
      <c r="D70">
        <v>-1.650572230359034</v>
      </c>
      <c r="F70">
        <v>89.215686274509807</v>
      </c>
      <c r="G70">
        <v>4.6800000000000001E-2</v>
      </c>
    </row>
    <row r="71" spans="1:7" x14ac:dyDescent="0.25">
      <c r="A71">
        <v>47</v>
      </c>
      <c r="B71">
        <v>7.0402305024981002E-3</v>
      </c>
      <c r="C71">
        <v>6.859769497501899E-3</v>
      </c>
      <c r="D71">
        <v>0.20923394205392581</v>
      </c>
      <c r="F71">
        <v>91.17647058823529</v>
      </c>
      <c r="G71">
        <v>5.0999999999999997E-2</v>
      </c>
    </row>
    <row r="72" spans="1:7" x14ac:dyDescent="0.25">
      <c r="A72">
        <v>48</v>
      </c>
      <c r="B72">
        <v>7.0402305024981002E-3</v>
      </c>
      <c r="C72">
        <v>7.6597694975018994E-3</v>
      </c>
      <c r="D72">
        <v>0.2336352216747786</v>
      </c>
      <c r="F72">
        <v>93.137254901960787</v>
      </c>
      <c r="G72">
        <v>5.8700000000000002E-2</v>
      </c>
    </row>
    <row r="73" spans="1:7" x14ac:dyDescent="0.25">
      <c r="A73">
        <v>49</v>
      </c>
      <c r="B73">
        <v>1.8329591406849206E-3</v>
      </c>
      <c r="C73">
        <v>1.8867040859315079E-2</v>
      </c>
      <c r="D73">
        <v>0.5754749245327524</v>
      </c>
      <c r="F73">
        <v>95.098039215686271</v>
      </c>
      <c r="G73">
        <v>6.1899999999999997E-2</v>
      </c>
    </row>
    <row r="74" spans="1:7" x14ac:dyDescent="0.25">
      <c r="A74">
        <v>50</v>
      </c>
      <c r="B74">
        <v>3.8769348154153276E-3</v>
      </c>
      <c r="C74">
        <v>7.3230651845846723E-3</v>
      </c>
      <c r="D74">
        <v>0.22336520156347814</v>
      </c>
      <c r="F74">
        <v>97.058823529411768</v>
      </c>
      <c r="G74">
        <v>7.4700000000000003E-2</v>
      </c>
    </row>
    <row r="75" spans="1:7" ht="15" thickBot="1" x14ac:dyDescent="0.3">
      <c r="A75" s="85">
        <v>51</v>
      </c>
      <c r="B75" s="85">
        <v>5.3855835277163422E-3</v>
      </c>
      <c r="C75" s="85">
        <v>-1.3855835277163421E-3</v>
      </c>
      <c r="D75" s="85">
        <v>-4.2262513872317616E-2</v>
      </c>
      <c r="F75" s="85">
        <v>99.019607843137251</v>
      </c>
      <c r="G75" s="85">
        <v>7.8899999999999998E-2</v>
      </c>
    </row>
  </sheetData>
  <sortState xmlns:xlrd2="http://schemas.microsoft.com/office/spreadsheetml/2017/richdata2" ref="G25:G75">
    <sortCondition ref="G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tabSelected="1" zoomScale="70" zoomScaleNormal="70" workbookViewId="0">
      <selection activeCell="J12" sqref="J12"/>
    </sheetView>
  </sheetViews>
  <sheetFormatPr defaultColWidth="9" defaultRowHeight="13.8" x14ac:dyDescent="0.25"/>
  <cols>
    <col min="1" max="1" width="11.109375" style="1" bestFit="1" customWidth="1"/>
    <col min="2" max="2" width="20.21875" style="1" bestFit="1" customWidth="1"/>
    <col min="3" max="4" width="16.77734375" style="1" bestFit="1" customWidth="1"/>
    <col min="5" max="5" width="20.21875" style="1" bestFit="1" customWidth="1"/>
    <col min="6" max="6" width="16.77734375" style="1" bestFit="1" customWidth="1"/>
    <col min="7" max="7" width="12.21875" style="1" bestFit="1" customWidth="1"/>
    <col min="8" max="9" width="9" style="1"/>
    <col min="10" max="10" width="12.77734375" style="1"/>
    <col min="11" max="16384" width="9" style="1"/>
  </cols>
  <sheetData>
    <row r="1" spans="1:10" x14ac:dyDescent="0.25">
      <c r="A1" s="120" t="s">
        <v>34</v>
      </c>
      <c r="B1" s="120"/>
      <c r="C1" s="120"/>
      <c r="D1" s="120"/>
      <c r="E1" s="120"/>
      <c r="F1" s="120"/>
      <c r="G1" s="120"/>
    </row>
    <row r="2" spans="1:10" ht="14.4" x14ac:dyDescent="0.3">
      <c r="A2" s="1" t="s">
        <v>35</v>
      </c>
      <c r="B2" s="97">
        <v>3.4700000000000002E-2</v>
      </c>
      <c r="C2" s="121" t="s">
        <v>139</v>
      </c>
      <c r="D2" s="121"/>
      <c r="E2" s="121"/>
      <c r="F2" s="121"/>
      <c r="G2" s="121"/>
    </row>
    <row r="3" spans="1:10" ht="14.4" x14ac:dyDescent="0.3">
      <c r="A3" s="1" t="s">
        <v>191</v>
      </c>
      <c r="B3" s="97">
        <f>'ATG companies'!D32-WACC!B2</f>
        <v>0.11958604064836964</v>
      </c>
      <c r="C3" s="121" t="s">
        <v>140</v>
      </c>
      <c r="D3" s="121"/>
      <c r="E3" s="121" t="s">
        <v>141</v>
      </c>
      <c r="F3" s="121"/>
    </row>
    <row r="4" spans="1:10" x14ac:dyDescent="0.25">
      <c r="A4" s="1" t="s">
        <v>36</v>
      </c>
      <c r="B4" s="98">
        <f>'Beta 5-Year'!B18</f>
        <v>0.53856441022210944</v>
      </c>
    </row>
    <row r="5" spans="1:10" x14ac:dyDescent="0.25">
      <c r="A5" s="1" t="s">
        <v>192</v>
      </c>
      <c r="B5" s="99">
        <f>B2+B4*B3</f>
        <v>9.9104785452586414E-2</v>
      </c>
    </row>
    <row r="7" spans="1:10" x14ac:dyDescent="0.25">
      <c r="A7" s="120" t="s">
        <v>37</v>
      </c>
      <c r="B7" s="120"/>
      <c r="C7" s="120"/>
      <c r="D7" s="120"/>
      <c r="E7" s="120"/>
      <c r="F7" s="120"/>
      <c r="G7" s="120"/>
    </row>
    <row r="8" spans="1:10" x14ac:dyDescent="0.25">
      <c r="B8" s="100">
        <v>2020</v>
      </c>
      <c r="C8" s="100">
        <v>2021</v>
      </c>
      <c r="D8" s="100">
        <v>2022</v>
      </c>
      <c r="E8" s="100">
        <v>2023</v>
      </c>
      <c r="F8" s="100">
        <v>2024</v>
      </c>
      <c r="G8" s="100"/>
    </row>
    <row r="9" spans="1:10" x14ac:dyDescent="0.25">
      <c r="A9" s="1" t="s">
        <v>190</v>
      </c>
      <c r="B9" s="101">
        <f>-('Ισολογισμοί + KAX'!I14+'Ισολογισμοί + KAX'!J15)/('Ισολογισμοί + KAX'!B28+'Ισολογισμοί + KAX'!B29+'Ισολογισμοί + KAX'!B35+'Ισολογισμοί + KAX'!B36)</f>
        <v>2.7612172829248025E-2</v>
      </c>
      <c r="C9" s="101">
        <f>-('Ισολογισμοί + KAX'!J14+'Ισολογισμοί + KAX'!K15)/('Ισολογισμοί + KAX'!C28+'Ισολογισμοί + KAX'!C29+'Ισολογισμοί + KAX'!C35+'Ισολογισμοί + KAX'!C36)</f>
        <v>3.263240148258674E-2</v>
      </c>
      <c r="D9" s="101">
        <f>-('Ισολογισμοί + KAX'!K14+'Ισολογισμοί + KAX'!L15)/('Ισολογισμοί + KAX'!D28+'Ισολογισμοί + KAX'!D29+'Ισολογισμοί + KAX'!D35+'Ισολογισμοί + KAX'!D36)</f>
        <v>1.9180857353198882E-2</v>
      </c>
      <c r="E9" s="101">
        <f>-('Ισολογισμοί + KAX'!L14+'Ισολογισμοί + KAX'!M15)/('Ισολογισμοί + KAX'!E28+'Ισολογισμοί + KAX'!E29+'Ισολογισμοί + KAX'!E35+'Ισολογισμοί + KAX'!E36)</f>
        <v>3.4327093398742153E-2</v>
      </c>
      <c r="F9" s="101">
        <f>-('Ισολογισμοί + KAX'!M14+'Ισολογισμοί + KAX'!N15)/('Ισολογισμοί + KAX'!F28+'Ισολογισμοί + KAX'!F29+'Ισολογισμοί + KAX'!F35+'Ισολογισμοί + KAX'!F36)</f>
        <v>5.5661537608056331E-2</v>
      </c>
      <c r="G9" s="103"/>
    </row>
    <row r="10" spans="1:10" x14ac:dyDescent="0.25">
      <c r="B10" s="101"/>
      <c r="C10" s="101"/>
      <c r="D10" s="101"/>
      <c r="E10" s="101"/>
      <c r="F10" s="101"/>
      <c r="G10" s="102"/>
    </row>
    <row r="11" spans="1:10" x14ac:dyDescent="0.25">
      <c r="A11" s="120" t="s">
        <v>38</v>
      </c>
      <c r="B11" s="120"/>
      <c r="C11" s="120"/>
      <c r="D11" s="120"/>
      <c r="E11" s="120"/>
      <c r="F11" s="120"/>
      <c r="G11" s="120"/>
    </row>
    <row r="12" spans="1:10" x14ac:dyDescent="0.25">
      <c r="A12" s="100"/>
      <c r="B12" s="100">
        <v>2020</v>
      </c>
      <c r="C12" s="100">
        <v>2021</v>
      </c>
      <c r="D12" s="100">
        <v>2022</v>
      </c>
      <c r="E12" s="100">
        <v>2023</v>
      </c>
      <c r="F12" s="100">
        <v>2024</v>
      </c>
      <c r="G12" s="100"/>
      <c r="I12" s="1" t="s">
        <v>39</v>
      </c>
      <c r="J12" s="107">
        <f>F15*B5+(1-F15)*F9*(1-0.22)</f>
        <v>9.8589197156156577E-2</v>
      </c>
    </row>
    <row r="13" spans="1:10" x14ac:dyDescent="0.25">
      <c r="A13" s="1" t="s">
        <v>40</v>
      </c>
      <c r="B13" s="76">
        <f>'Ισολογισμοί + KAX'!I40*'Ισολογισμοί + KAX'!I38</f>
        <v>216238468.44</v>
      </c>
      <c r="C13" s="76">
        <f>'Ισολογισμοί + KAX'!J40*'Ισολογισμοί + KAX'!J38</f>
        <v>280134253.5</v>
      </c>
      <c r="D13" s="76">
        <f>'Ισολογισμοί + KAX'!K40*'Ισολογισμοί + KAX'!K38</f>
        <v>204271958</v>
      </c>
      <c r="E13" s="76">
        <f>'Ισολογισμοί + KAX'!L40*'Ισολογισμοί + KAX'!L38</f>
        <v>323322139</v>
      </c>
      <c r="F13" s="76">
        <f>'Ισολογισμοί + KAX'!M40*'Ισολογισμοί + KAX'!M38</f>
        <v>513096383.60000002</v>
      </c>
    </row>
    <row r="14" spans="1:10" x14ac:dyDescent="0.25">
      <c r="A14" s="1" t="s">
        <v>41</v>
      </c>
      <c r="B14" s="66">
        <f>SUM('Ισολογισμοί + KAX'!B35:B36,'Ισολογισμοί + KAX'!B28:B29)</f>
        <v>11361040</v>
      </c>
      <c r="C14" s="66">
        <f>SUM('Ισολογισμοί + KAX'!C35:C36,'Ισολογισμοί + KAX'!C28:C29)</f>
        <v>9333147</v>
      </c>
      <c r="D14" s="66">
        <f>SUM('Ισολογισμοί + KAX'!D35:D36,'Ισολογισμοί + KAX'!D28:D29)</f>
        <v>15241863</v>
      </c>
      <c r="E14" s="66">
        <f>SUM('Ισολογισμοί + KAX'!E35:E36,'Ισολογισμοί + KAX'!E28:E29)</f>
        <v>12522674</v>
      </c>
      <c r="F14" s="66">
        <f>SUM('Ισολογισμοί + KAX'!F35:F36,'Ισολογισμοί + KAX'!F28:F29)</f>
        <v>4794837</v>
      </c>
    </row>
    <row r="15" spans="1:10" x14ac:dyDescent="0.25">
      <c r="A15" s="1" t="s">
        <v>42</v>
      </c>
      <c r="B15" s="101">
        <f>B13/(B13+B14)</f>
        <v>0.95008319623416493</v>
      </c>
      <c r="C15" s="101">
        <f>C13/(C13+C14)</f>
        <v>0.96775751955529787</v>
      </c>
      <c r="D15" s="101">
        <f>D13/(D13+D14)</f>
        <v>0.93056536062027728</v>
      </c>
      <c r="E15" s="101">
        <f>E13/(E13+E14)</f>
        <v>0.96271291526542047</v>
      </c>
      <c r="F15" s="101">
        <f>F13/(F13+F14)</f>
        <v>0.99074161366465152</v>
      </c>
      <c r="G15" s="101"/>
    </row>
  </sheetData>
  <mergeCells count="6">
    <mergeCell ref="A1:G1"/>
    <mergeCell ref="A7:G7"/>
    <mergeCell ref="A11:G11"/>
    <mergeCell ref="C2:G2"/>
    <mergeCell ref="C3:D3"/>
    <mergeCell ref="E3:F3"/>
  </mergeCells>
  <hyperlinks>
    <hyperlink ref="C2" r:id="rId1" display="https://www.investing.com/rates-bonds/greece-10-year-bond-yield" xr:uid="{6D3104A2-AC29-4610-94D0-A7DA2A0C580D}"/>
    <hyperlink ref="C3" r:id="rId2" display="https://www.statista.com/statistics/664934/average-market-risk-premium-greece-europe/?srsltid=AfmBOoo8uGbn_HRB_mTnHp_PEqVNxuytTNZWBtNWS-131ACsptJXMuBg" xr:uid="{F13054BC-0089-46F3-86B4-3D50E9CAE167}"/>
    <hyperlink ref="E3" r:id="rId3" display="https://www.market-risk-premia.com/gr.html" xr:uid="{598F66D0-3B75-4E8E-81F2-CE86FEBEEC91}"/>
  </hyperlink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6"/>
  <sheetViews>
    <sheetView topLeftCell="A18" zoomScale="114" zoomScaleNormal="97" workbookViewId="0">
      <selection activeCell="D35" sqref="D35"/>
    </sheetView>
  </sheetViews>
  <sheetFormatPr defaultColWidth="8.88671875" defaultRowHeight="13.8" x14ac:dyDescent="0.25"/>
  <cols>
    <col min="1" max="1" width="39.77734375" style="1" customWidth="1"/>
    <col min="2" max="2" width="17.21875" style="1" customWidth="1"/>
    <col min="3" max="6" width="17" style="1" customWidth="1"/>
    <col min="7" max="7" width="8.88671875" style="1"/>
    <col min="8" max="8" width="61.44140625" style="1" customWidth="1"/>
    <col min="9" max="10" width="17.44140625" style="1" customWidth="1"/>
    <col min="11" max="13" width="17.6640625" style="1" customWidth="1"/>
    <col min="14" max="16384" width="8.88671875" style="1"/>
  </cols>
  <sheetData>
    <row r="1" spans="1:13" ht="14.4" x14ac:dyDescent="0.3">
      <c r="A1" s="2" t="s">
        <v>43</v>
      </c>
      <c r="B1" s="3">
        <v>2020</v>
      </c>
      <c r="C1" s="3">
        <v>2021</v>
      </c>
      <c r="D1" s="3">
        <v>2022</v>
      </c>
      <c r="E1" s="3">
        <v>2023</v>
      </c>
      <c r="F1" s="4">
        <v>2024</v>
      </c>
      <c r="H1" s="5" t="s">
        <v>44</v>
      </c>
      <c r="I1" s="39" t="s">
        <v>45</v>
      </c>
      <c r="J1" s="39" t="s">
        <v>46</v>
      </c>
      <c r="K1" s="39" t="s">
        <v>47</v>
      </c>
      <c r="L1" s="39" t="s">
        <v>48</v>
      </c>
      <c r="M1" s="40" t="s">
        <v>49</v>
      </c>
    </row>
    <row r="2" spans="1:13" ht="14.4" x14ac:dyDescent="0.3">
      <c r="A2" s="6" t="s">
        <v>50</v>
      </c>
      <c r="B2" s="7"/>
      <c r="C2" s="7"/>
      <c r="D2" s="7"/>
      <c r="E2" s="7"/>
      <c r="F2" s="8"/>
      <c r="H2" s="9" t="s">
        <v>51</v>
      </c>
      <c r="I2" s="41">
        <v>125982880</v>
      </c>
      <c r="J2" s="41">
        <v>134599699</v>
      </c>
      <c r="K2" s="42">
        <v>17188386</v>
      </c>
      <c r="L2" s="41">
        <v>216329611</v>
      </c>
      <c r="M2" s="43">
        <v>256401956</v>
      </c>
    </row>
    <row r="3" spans="1:13" ht="14.4" x14ac:dyDescent="0.3">
      <c r="A3" s="6" t="s">
        <v>52</v>
      </c>
      <c r="B3" s="7"/>
      <c r="C3" s="7"/>
      <c r="D3" s="7"/>
      <c r="E3" s="7"/>
      <c r="F3" s="8"/>
      <c r="H3" s="10" t="s">
        <v>53</v>
      </c>
      <c r="I3" s="44">
        <v>-85552940</v>
      </c>
      <c r="J3" s="44">
        <v>-93430745</v>
      </c>
      <c r="K3" s="44">
        <v>-140421046</v>
      </c>
      <c r="L3" s="44">
        <v>-143864302</v>
      </c>
      <c r="M3" s="45">
        <v>-180271900</v>
      </c>
    </row>
    <row r="4" spans="1:13" ht="14.4" x14ac:dyDescent="0.3">
      <c r="A4" s="11" t="s">
        <v>54</v>
      </c>
      <c r="B4" s="12">
        <v>64807728</v>
      </c>
      <c r="C4" s="12">
        <v>71097784</v>
      </c>
      <c r="D4" s="12">
        <v>73879559</v>
      </c>
      <c r="E4" s="12">
        <v>82007851</v>
      </c>
      <c r="F4" s="13">
        <v>102405163</v>
      </c>
      <c r="H4" s="9" t="s">
        <v>55</v>
      </c>
      <c r="I4" s="41">
        <v>40429940</v>
      </c>
      <c r="J4" s="41">
        <v>41168954</v>
      </c>
      <c r="K4" s="42">
        <v>31462040</v>
      </c>
      <c r="L4" s="41">
        <v>72465309</v>
      </c>
      <c r="M4" s="43">
        <v>76130056</v>
      </c>
    </row>
    <row r="5" spans="1:13" ht="14.4" x14ac:dyDescent="0.3">
      <c r="A5" s="14" t="s">
        <v>56</v>
      </c>
      <c r="B5" s="15">
        <v>114654</v>
      </c>
      <c r="C5" s="15">
        <v>631097</v>
      </c>
      <c r="D5" s="15">
        <v>520111</v>
      </c>
      <c r="E5" s="15">
        <v>588763</v>
      </c>
      <c r="F5" s="16">
        <v>464472</v>
      </c>
      <c r="H5" s="10" t="s">
        <v>57</v>
      </c>
      <c r="I5" s="44">
        <v>-18849973</v>
      </c>
      <c r="J5" s="44">
        <v>-21304569</v>
      </c>
      <c r="K5" s="46">
        <v>-24396871</v>
      </c>
      <c r="L5" s="44">
        <v>-28245330</v>
      </c>
      <c r="M5" s="45">
        <v>-34084214</v>
      </c>
    </row>
    <row r="6" spans="1:13" ht="14.4" x14ac:dyDescent="0.3">
      <c r="A6" s="14" t="s">
        <v>58</v>
      </c>
      <c r="B6" s="15">
        <v>10082</v>
      </c>
      <c r="C6" s="15">
        <v>10082</v>
      </c>
      <c r="D6" s="15">
        <v>10082</v>
      </c>
      <c r="E6" s="15">
        <v>10082</v>
      </c>
      <c r="F6" s="16">
        <v>10082</v>
      </c>
      <c r="H6" s="10" t="s">
        <v>59</v>
      </c>
      <c r="I6" s="44">
        <v>-3571098</v>
      </c>
      <c r="J6" s="44">
        <v>-3669936</v>
      </c>
      <c r="K6" s="46">
        <v>-3722968</v>
      </c>
      <c r="L6" s="44">
        <v>-4545412</v>
      </c>
      <c r="M6" s="45">
        <v>-5178820</v>
      </c>
    </row>
    <row r="7" spans="1:13" ht="14.4" x14ac:dyDescent="0.3">
      <c r="A7" s="14" t="s">
        <v>60</v>
      </c>
      <c r="B7" s="15">
        <v>386380</v>
      </c>
      <c r="C7" s="15">
        <v>299894</v>
      </c>
      <c r="D7" s="15">
        <v>185147</v>
      </c>
      <c r="E7" s="15">
        <v>193614</v>
      </c>
      <c r="F7" s="16">
        <v>298206</v>
      </c>
      <c r="H7" s="10" t="s">
        <v>61</v>
      </c>
      <c r="I7" s="44">
        <v>-295440</v>
      </c>
      <c r="J7" s="44">
        <v>-300955</v>
      </c>
      <c r="K7" s="46">
        <v>-380279</v>
      </c>
      <c r="L7" s="44">
        <v>-455026</v>
      </c>
      <c r="M7" s="45">
        <v>-500740</v>
      </c>
    </row>
    <row r="8" spans="1:13" ht="14.4" x14ac:dyDescent="0.3">
      <c r="A8" s="14" t="s">
        <v>62</v>
      </c>
      <c r="B8" s="15">
        <v>46106</v>
      </c>
      <c r="C8" s="15">
        <v>36173</v>
      </c>
      <c r="D8" s="15">
        <v>181735</v>
      </c>
      <c r="E8" s="15">
        <v>169743</v>
      </c>
      <c r="F8" s="16">
        <v>169795</v>
      </c>
      <c r="H8" s="10" t="s">
        <v>63</v>
      </c>
      <c r="I8" s="44">
        <v>739551</v>
      </c>
      <c r="J8" s="44">
        <v>648521</v>
      </c>
      <c r="K8" s="46">
        <v>812691</v>
      </c>
      <c r="L8" s="44">
        <v>770724</v>
      </c>
      <c r="M8" s="45">
        <v>934592</v>
      </c>
    </row>
    <row r="9" spans="1:13" ht="14.4" x14ac:dyDescent="0.3">
      <c r="A9" s="17" t="s">
        <v>64</v>
      </c>
      <c r="B9" s="18">
        <v>65364950</v>
      </c>
      <c r="C9" s="18">
        <v>72075030</v>
      </c>
      <c r="D9" s="18">
        <v>74776634</v>
      </c>
      <c r="E9" s="18">
        <v>82970053</v>
      </c>
      <c r="F9" s="19">
        <v>103347718</v>
      </c>
      <c r="H9" s="10" t="s">
        <v>65</v>
      </c>
      <c r="I9" s="44">
        <v>154606</v>
      </c>
      <c r="J9" s="44">
        <v>123872</v>
      </c>
      <c r="K9" s="46">
        <v>253020</v>
      </c>
      <c r="L9" s="44">
        <v>287387</v>
      </c>
      <c r="M9" s="45">
        <v>-51094</v>
      </c>
    </row>
    <row r="10" spans="1:13" ht="14.4" x14ac:dyDescent="0.3">
      <c r="A10" s="6" t="s">
        <v>66</v>
      </c>
      <c r="B10" s="20"/>
      <c r="C10" s="20"/>
      <c r="D10" s="20"/>
      <c r="E10" s="20"/>
      <c r="F10" s="21"/>
      <c r="H10" s="9" t="s">
        <v>67</v>
      </c>
      <c r="I10" s="41">
        <v>18607586</v>
      </c>
      <c r="J10" s="41">
        <v>16665887</v>
      </c>
      <c r="K10" s="42">
        <v>4027632</v>
      </c>
      <c r="L10" s="41">
        <v>40277652</v>
      </c>
      <c r="M10" s="43">
        <v>37249781</v>
      </c>
    </row>
    <row r="11" spans="1:13" ht="14.4" x14ac:dyDescent="0.3">
      <c r="A11" s="11" t="s">
        <v>68</v>
      </c>
      <c r="B11" s="12">
        <v>14024192</v>
      </c>
      <c r="C11" s="12">
        <v>11871809</v>
      </c>
      <c r="D11" s="12">
        <v>15290030</v>
      </c>
      <c r="E11" s="12">
        <v>17288601</v>
      </c>
      <c r="F11" s="13">
        <v>24784204</v>
      </c>
      <c r="H11" s="22" t="s">
        <v>69</v>
      </c>
      <c r="I11" s="46">
        <v>4125198</v>
      </c>
      <c r="J11" s="46">
        <v>4702107</v>
      </c>
      <c r="K11" s="46">
        <v>5238273</v>
      </c>
      <c r="L11" s="46">
        <v>5230234</v>
      </c>
      <c r="M11" s="47">
        <v>5730182</v>
      </c>
    </row>
    <row r="12" spans="1:13" ht="14.4" x14ac:dyDescent="0.3">
      <c r="A12" s="14" t="s">
        <v>70</v>
      </c>
      <c r="B12" s="15">
        <v>24249201</v>
      </c>
      <c r="C12" s="15">
        <v>23047706</v>
      </c>
      <c r="D12" s="15">
        <v>28690740</v>
      </c>
      <c r="E12" s="15">
        <v>26917831</v>
      </c>
      <c r="F12" s="16">
        <v>32760609</v>
      </c>
      <c r="H12" s="9" t="s">
        <v>71</v>
      </c>
      <c r="I12" s="41">
        <f>I10+I11</f>
        <v>22732784</v>
      </c>
      <c r="J12" s="41">
        <f t="shared" ref="J12:M12" si="0">J10+J11</f>
        <v>21367994</v>
      </c>
      <c r="K12" s="41">
        <f t="shared" si="0"/>
        <v>9265905</v>
      </c>
      <c r="L12" s="41">
        <f t="shared" si="0"/>
        <v>45507886</v>
      </c>
      <c r="M12" s="43">
        <f t="shared" si="0"/>
        <v>42979963</v>
      </c>
    </row>
    <row r="13" spans="1:13" ht="14.4" x14ac:dyDescent="0.3">
      <c r="A13" s="14" t="s">
        <v>72</v>
      </c>
      <c r="B13" s="15">
        <v>1430104</v>
      </c>
      <c r="C13" s="15">
        <v>0</v>
      </c>
      <c r="D13" s="15">
        <v>2110152</v>
      </c>
      <c r="E13" s="15">
        <v>0</v>
      </c>
      <c r="F13" s="16"/>
      <c r="H13" s="10" t="s">
        <v>73</v>
      </c>
      <c r="I13" s="44">
        <v>125150</v>
      </c>
      <c r="J13" s="44">
        <v>171652</v>
      </c>
      <c r="K13" s="46">
        <v>94898</v>
      </c>
      <c r="L13" s="44">
        <v>453541</v>
      </c>
      <c r="M13" s="45">
        <v>611764</v>
      </c>
    </row>
    <row r="14" spans="1:13" ht="14.4" x14ac:dyDescent="0.3">
      <c r="A14" s="14" t="s">
        <v>74</v>
      </c>
      <c r="B14" s="15">
        <v>301852</v>
      </c>
      <c r="C14" s="15">
        <v>0</v>
      </c>
      <c r="D14" s="15">
        <v>0</v>
      </c>
      <c r="E14" s="15">
        <v>3984840</v>
      </c>
      <c r="F14" s="16">
        <v>0</v>
      </c>
      <c r="H14" s="10" t="s">
        <v>75</v>
      </c>
      <c r="I14" s="44">
        <v>-283974</v>
      </c>
      <c r="J14" s="44">
        <v>-278205</v>
      </c>
      <c r="K14" s="46">
        <v>-263526</v>
      </c>
      <c r="L14" s="44">
        <v>-401343</v>
      </c>
      <c r="M14" s="45">
        <v>-266888</v>
      </c>
    </row>
    <row r="15" spans="1:13" ht="14.4" x14ac:dyDescent="0.3">
      <c r="A15" s="14" t="s">
        <v>76</v>
      </c>
      <c r="B15" s="15"/>
      <c r="C15" s="15">
        <v>2230000</v>
      </c>
      <c r="D15" s="15">
        <v>0</v>
      </c>
      <c r="E15" s="15">
        <v>7600000</v>
      </c>
      <c r="F15" s="16">
        <v>150000</v>
      </c>
      <c r="H15" s="10" t="s">
        <v>77</v>
      </c>
      <c r="I15" s="44">
        <v>-26752</v>
      </c>
      <c r="J15" s="44">
        <v>-29729</v>
      </c>
      <c r="K15" s="46">
        <v>-26358</v>
      </c>
      <c r="L15" s="44">
        <v>-28826</v>
      </c>
      <c r="M15" s="45">
        <v>-28524</v>
      </c>
    </row>
    <row r="16" spans="1:13" ht="14.4" x14ac:dyDescent="0.3">
      <c r="A16" s="14" t="s">
        <v>78</v>
      </c>
      <c r="B16" s="15">
        <v>9737271</v>
      </c>
      <c r="C16" s="15">
        <v>10749735</v>
      </c>
      <c r="D16" s="15">
        <v>7221288</v>
      </c>
      <c r="E16" s="15">
        <v>21735612</v>
      </c>
      <c r="F16" s="16">
        <v>16995156</v>
      </c>
      <c r="H16" s="10" t="s">
        <v>79</v>
      </c>
      <c r="I16" s="44">
        <v>-185576</v>
      </c>
      <c r="J16" s="44">
        <v>-136283</v>
      </c>
      <c r="K16" s="46">
        <v>-194985</v>
      </c>
      <c r="L16" s="44">
        <v>23373</v>
      </c>
      <c r="M16" s="45">
        <v>316353</v>
      </c>
    </row>
    <row r="17" spans="1:13" ht="14.4" x14ac:dyDescent="0.3">
      <c r="A17" s="17" t="s">
        <v>80</v>
      </c>
      <c r="B17" s="18">
        <v>49742620</v>
      </c>
      <c r="C17" s="18">
        <v>47899250</v>
      </c>
      <c r="D17" s="18">
        <v>53321210</v>
      </c>
      <c r="E17" s="18">
        <v>77526884</v>
      </c>
      <c r="F17" s="19">
        <v>74689969</v>
      </c>
      <c r="H17" s="9" t="s">
        <v>81</v>
      </c>
      <c r="I17" s="41">
        <v>18422010</v>
      </c>
      <c r="J17" s="41">
        <v>16529604</v>
      </c>
      <c r="K17" s="42">
        <v>3832647</v>
      </c>
      <c r="L17" s="41">
        <v>40301025</v>
      </c>
      <c r="M17" s="43">
        <v>37566134</v>
      </c>
    </row>
    <row r="18" spans="1:13" ht="14.4" x14ac:dyDescent="0.3">
      <c r="A18" s="23" t="s">
        <v>82</v>
      </c>
      <c r="B18" s="24">
        <v>115407570</v>
      </c>
      <c r="C18" s="24">
        <v>119974280</v>
      </c>
      <c r="D18" s="24">
        <v>128097844</v>
      </c>
      <c r="E18" s="24">
        <v>160496937</v>
      </c>
      <c r="F18" s="25">
        <v>178037686</v>
      </c>
      <c r="H18" s="10" t="s">
        <v>83</v>
      </c>
      <c r="I18" s="44">
        <v>-2559398</v>
      </c>
      <c r="J18" s="44">
        <v>-3319914</v>
      </c>
      <c r="K18" s="46">
        <v>-657646</v>
      </c>
      <c r="L18" s="44">
        <v>-8031805</v>
      </c>
      <c r="M18" s="45">
        <v>-3019115</v>
      </c>
    </row>
    <row r="19" spans="1:13" ht="14.4" x14ac:dyDescent="0.3">
      <c r="A19" s="6" t="s">
        <v>84</v>
      </c>
      <c r="B19" s="20"/>
      <c r="C19" s="20"/>
      <c r="D19" s="20"/>
      <c r="E19" s="20"/>
      <c r="F19" s="21"/>
      <c r="H19" s="9" t="s">
        <v>85</v>
      </c>
      <c r="I19" s="41">
        <v>15862612</v>
      </c>
      <c r="J19" s="41">
        <v>13209690</v>
      </c>
      <c r="K19" s="42">
        <v>3175001</v>
      </c>
      <c r="L19" s="41">
        <v>32269220</v>
      </c>
      <c r="M19" s="43">
        <v>34547018</v>
      </c>
    </row>
    <row r="20" spans="1:13" ht="14.4" x14ac:dyDescent="0.3">
      <c r="A20" s="26" t="s">
        <v>86</v>
      </c>
      <c r="B20" s="12"/>
      <c r="C20" s="12"/>
      <c r="D20" s="12"/>
      <c r="E20" s="12"/>
      <c r="F20" s="13"/>
      <c r="H20" s="27"/>
      <c r="I20" s="48"/>
      <c r="J20" s="48"/>
      <c r="K20" s="49"/>
      <c r="L20" s="48"/>
      <c r="M20" s="48"/>
    </row>
    <row r="21" spans="1:13" ht="14.4" x14ac:dyDescent="0.3">
      <c r="A21" s="14" t="s">
        <v>87</v>
      </c>
      <c r="B21" s="15">
        <v>12564752</v>
      </c>
      <c r="C21" s="15">
        <v>12564752</v>
      </c>
      <c r="D21" s="15">
        <v>12564752</v>
      </c>
      <c r="E21" s="15">
        <v>12564752</v>
      </c>
      <c r="F21" s="16">
        <v>12564752</v>
      </c>
      <c r="H21" s="28" t="s">
        <v>88</v>
      </c>
      <c r="I21" s="50"/>
      <c r="J21" s="50"/>
      <c r="K21" s="50"/>
      <c r="L21" s="50"/>
      <c r="M21" s="51"/>
    </row>
    <row r="22" spans="1:13" ht="14.4" x14ac:dyDescent="0.3">
      <c r="A22" s="14" t="s">
        <v>89</v>
      </c>
      <c r="B22" s="15">
        <v>22437778</v>
      </c>
      <c r="C22" s="15">
        <v>24551367</v>
      </c>
      <c r="D22" s="15">
        <v>24686060</v>
      </c>
      <c r="E22" s="15">
        <v>35687373</v>
      </c>
      <c r="F22" s="16">
        <v>38802072</v>
      </c>
      <c r="H22" s="9" t="s">
        <v>90</v>
      </c>
      <c r="I22" s="52"/>
      <c r="J22" s="52"/>
      <c r="K22" s="50"/>
      <c r="L22" s="52"/>
      <c r="M22" s="53"/>
    </row>
    <row r="23" spans="1:13" ht="14.4" x14ac:dyDescent="0.3">
      <c r="A23" s="14" t="s">
        <v>91</v>
      </c>
      <c r="B23" s="15"/>
      <c r="C23" s="15">
        <v>-60897</v>
      </c>
      <c r="D23" s="15">
        <v>-541306</v>
      </c>
      <c r="E23" s="15">
        <v>-455051</v>
      </c>
      <c r="F23" s="16">
        <v>-898702</v>
      </c>
      <c r="H23" s="29" t="s">
        <v>92</v>
      </c>
      <c r="I23" s="54">
        <f>I19/B25</f>
        <v>0.209040399392765</v>
      </c>
      <c r="J23" s="54">
        <f>J19/C25</f>
        <v>0.15947767842617799</v>
      </c>
      <c r="K23" s="54">
        <f>K19/D25</f>
        <v>4.0239742607676397E-2</v>
      </c>
      <c r="L23" s="54">
        <f>L19/E25</f>
        <v>0.30820854652680901</v>
      </c>
      <c r="M23" s="55">
        <f t="shared" ref="M23" si="1">M19/F25</f>
        <v>0.27105484302734001</v>
      </c>
    </row>
    <row r="24" spans="1:13" ht="14.4" x14ac:dyDescent="0.3">
      <c r="A24" s="30" t="s">
        <v>93</v>
      </c>
      <c r="B24" s="31">
        <v>41014778</v>
      </c>
      <c r="C24" s="31">
        <v>45775743</v>
      </c>
      <c r="D24" s="31">
        <v>42192614</v>
      </c>
      <c r="E24" s="31">
        <v>56902229</v>
      </c>
      <c r="F24" s="32">
        <v>76985856</v>
      </c>
      <c r="H24" s="33" t="s">
        <v>94</v>
      </c>
      <c r="I24" s="56">
        <f>I19/B18</f>
        <v>0.13744862663688401</v>
      </c>
      <c r="J24" s="56">
        <f t="shared" ref="J24:M24" si="2">J19/C18</f>
        <v>0.110104349032143</v>
      </c>
      <c r="K24" s="56">
        <f t="shared" si="2"/>
        <v>2.4785748931106098E-2</v>
      </c>
      <c r="L24" s="56">
        <f t="shared" si="2"/>
        <v>0.20105816723468101</v>
      </c>
      <c r="M24" s="57">
        <f t="shared" si="2"/>
        <v>0.19404328811597801</v>
      </c>
    </row>
    <row r="25" spans="1:13" ht="14.4" x14ac:dyDescent="0.3">
      <c r="A25" s="6" t="s">
        <v>95</v>
      </c>
      <c r="B25" s="34">
        <v>75882997</v>
      </c>
      <c r="C25" s="34">
        <v>82830965</v>
      </c>
      <c r="D25" s="34">
        <v>78902120</v>
      </c>
      <c r="E25" s="34">
        <v>104699303</v>
      </c>
      <c r="F25" s="35">
        <v>127453978</v>
      </c>
      <c r="H25" s="36" t="s">
        <v>96</v>
      </c>
      <c r="I25" s="58">
        <f>I10/(B18-B39)</f>
        <v>0.19561145482349801</v>
      </c>
      <c r="J25" s="58">
        <f t="shared" ref="J25:M25" si="3">J10/(C18-C39)</f>
        <v>0.16714850144826199</v>
      </c>
      <c r="K25" s="58">
        <f t="shared" si="3"/>
        <v>4.1904672725087799E-2</v>
      </c>
      <c r="L25" s="58">
        <f t="shared" si="3"/>
        <v>0.31914120465887402</v>
      </c>
      <c r="M25" s="59">
        <f t="shared" si="3"/>
        <v>0.25963096987025902</v>
      </c>
    </row>
    <row r="26" spans="1:13" ht="14.4" x14ac:dyDescent="0.3">
      <c r="A26" s="26" t="s">
        <v>97</v>
      </c>
      <c r="B26" s="12"/>
      <c r="C26" s="12"/>
      <c r="D26" s="12"/>
      <c r="E26" s="12"/>
      <c r="F26" s="13"/>
      <c r="H26" s="9" t="s">
        <v>98</v>
      </c>
      <c r="I26" s="52"/>
      <c r="J26" s="52"/>
      <c r="K26" s="50"/>
      <c r="L26" s="52"/>
      <c r="M26" s="53"/>
    </row>
    <row r="27" spans="1:13" ht="14.4" x14ac:dyDescent="0.3">
      <c r="A27" s="37" t="s">
        <v>99</v>
      </c>
      <c r="B27" s="15"/>
      <c r="C27" s="15"/>
      <c r="D27" s="15"/>
      <c r="E27" s="15"/>
      <c r="F27" s="16"/>
      <c r="H27" s="29" t="s">
        <v>100</v>
      </c>
      <c r="I27" s="60">
        <f>(B28+B29+B35+B36-B16)/I12</f>
        <v>7.1428514870857898E-2</v>
      </c>
      <c r="J27" s="60">
        <f t="shared" ref="J27:M27" si="4">(C28+C29+C35+C36-C16)/J12</f>
        <v>-6.62948520109094E-2</v>
      </c>
      <c r="K27" s="60">
        <f t="shared" si="4"/>
        <v>0.86560082366482305</v>
      </c>
      <c r="L27" s="60">
        <f t="shared" si="4"/>
        <v>-0.20244706598764001</v>
      </c>
      <c r="M27" s="61">
        <f t="shared" si="4"/>
        <v>-0.28386062128531803</v>
      </c>
    </row>
    <row r="28" spans="1:13" x14ac:dyDescent="0.25">
      <c r="A28" s="14" t="s">
        <v>101</v>
      </c>
      <c r="B28" s="15">
        <v>8680000</v>
      </c>
      <c r="C28" s="15">
        <v>6430000</v>
      </c>
      <c r="D28" s="15">
        <v>6750000</v>
      </c>
      <c r="E28" s="15">
        <v>10230000</v>
      </c>
      <c r="F28" s="16">
        <v>4299924</v>
      </c>
      <c r="H28" s="33" t="s">
        <v>102</v>
      </c>
      <c r="I28" s="62">
        <f>(B29+B28+B35+B36)/B25</f>
        <v>0.14971786103809301</v>
      </c>
      <c r="J28" s="62">
        <f t="shared" ref="J28:M28" si="5">(C29+C28+C35+C36)/C25</f>
        <v>0.11267702845186001</v>
      </c>
      <c r="K28" s="62">
        <f t="shared" si="5"/>
        <v>0.19317431521485101</v>
      </c>
      <c r="L28" s="62">
        <f t="shared" si="5"/>
        <v>0.11960608754004801</v>
      </c>
      <c r="M28" s="63">
        <f t="shared" si="5"/>
        <v>3.7620143955020398E-2</v>
      </c>
    </row>
    <row r="29" spans="1:13" x14ac:dyDescent="0.25">
      <c r="A29" s="14" t="s">
        <v>103</v>
      </c>
      <c r="B29" s="15">
        <v>243413</v>
      </c>
      <c r="C29" s="15">
        <v>428068</v>
      </c>
      <c r="D29" s="15">
        <v>355857</v>
      </c>
      <c r="E29" s="15">
        <v>376253</v>
      </c>
      <c r="F29" s="16">
        <v>280218</v>
      </c>
      <c r="H29" s="38" t="s">
        <v>104</v>
      </c>
      <c r="I29" s="64">
        <f>-(I14+I15)/I19</f>
        <v>1.9588577215404399E-2</v>
      </c>
      <c r="J29" s="64">
        <f t="shared" ref="J29:M29" si="6">-(J14+J15)/J19</f>
        <v>2.3311220778080299E-2</v>
      </c>
      <c r="K29" s="64">
        <f t="shared" si="6"/>
        <v>9.1302018487553205E-2</v>
      </c>
      <c r="L29" s="64">
        <f t="shared" si="6"/>
        <v>1.33306290018786E-2</v>
      </c>
      <c r="M29" s="65">
        <f t="shared" si="6"/>
        <v>8.5510129991537894E-3</v>
      </c>
    </row>
    <row r="30" spans="1:13" x14ac:dyDescent="0.25">
      <c r="A30" s="14" t="s">
        <v>105</v>
      </c>
      <c r="B30" s="15">
        <v>604307</v>
      </c>
      <c r="C30" s="15">
        <v>285270</v>
      </c>
      <c r="D30" s="15">
        <v>304149</v>
      </c>
      <c r="E30" s="15">
        <v>376429</v>
      </c>
      <c r="F30" s="16">
        <v>476541</v>
      </c>
      <c r="H30" s="6" t="s">
        <v>106</v>
      </c>
      <c r="I30" s="7"/>
      <c r="J30" s="7"/>
      <c r="K30" s="7"/>
      <c r="L30" s="7"/>
      <c r="M30" s="8"/>
    </row>
    <row r="31" spans="1:13" x14ac:dyDescent="0.25">
      <c r="A31" s="14" t="s">
        <v>107</v>
      </c>
      <c r="B31" s="15">
        <v>3382217</v>
      </c>
      <c r="C31" s="15">
        <v>3805295</v>
      </c>
      <c r="D31" s="15">
        <v>4277489</v>
      </c>
      <c r="E31" s="15">
        <v>5384001</v>
      </c>
      <c r="F31" s="16">
        <v>6201601</v>
      </c>
      <c r="H31" s="33" t="s">
        <v>108</v>
      </c>
      <c r="I31" s="66">
        <f>B17-B39</f>
        <v>29460287</v>
      </c>
      <c r="J31" s="66">
        <f t="shared" ref="J31:M31" si="7">C17-C39</f>
        <v>27632038</v>
      </c>
      <c r="K31" s="66">
        <f t="shared" si="7"/>
        <v>21337516</v>
      </c>
      <c r="L31" s="66">
        <f t="shared" si="7"/>
        <v>43236314</v>
      </c>
      <c r="M31" s="67">
        <f t="shared" si="7"/>
        <v>40124308</v>
      </c>
    </row>
    <row r="32" spans="1:13" x14ac:dyDescent="0.25">
      <c r="A32" s="30" t="s">
        <v>109</v>
      </c>
      <c r="B32" s="31">
        <v>6322303</v>
      </c>
      <c r="C32" s="31">
        <v>5927470</v>
      </c>
      <c r="D32" s="31">
        <v>5524536</v>
      </c>
      <c r="E32" s="31">
        <v>5140381</v>
      </c>
      <c r="F32" s="32">
        <v>4759763</v>
      </c>
      <c r="H32" s="33" t="s">
        <v>110</v>
      </c>
      <c r="I32" s="62">
        <f>B17/B39</f>
        <v>2.4525097778445901</v>
      </c>
      <c r="J32" s="62">
        <f t="shared" ref="J32:M32" si="8">C17/C39</f>
        <v>2.3633862417781</v>
      </c>
      <c r="K32" s="62">
        <f t="shared" si="8"/>
        <v>1.66713732316223</v>
      </c>
      <c r="L32" s="62">
        <f t="shared" si="8"/>
        <v>2.2608805861203201</v>
      </c>
      <c r="M32" s="63">
        <f t="shared" si="8"/>
        <v>2.1608141386331399</v>
      </c>
    </row>
    <row r="33" spans="1:13" x14ac:dyDescent="0.25">
      <c r="A33" s="6" t="s">
        <v>111</v>
      </c>
      <c r="B33" s="34">
        <v>19242240</v>
      </c>
      <c r="C33" s="34">
        <v>16876103</v>
      </c>
      <c r="D33" s="34">
        <v>17212031</v>
      </c>
      <c r="E33" s="34">
        <v>21507064</v>
      </c>
      <c r="F33" s="35">
        <v>16018047</v>
      </c>
      <c r="H33" s="38" t="s">
        <v>112</v>
      </c>
      <c r="I33" s="64">
        <f>(B17-B11)/B39</f>
        <v>1.7610611165885099</v>
      </c>
      <c r="J33" s="64">
        <f t="shared" ref="J33:M33" si="9">(C17-C11)/C39</f>
        <v>1.77762195411979</v>
      </c>
      <c r="K33" s="64">
        <f t="shared" si="9"/>
        <v>1.18908028572309</v>
      </c>
      <c r="L33" s="64">
        <f t="shared" si="9"/>
        <v>1.75670112803608</v>
      </c>
      <c r="M33" s="65">
        <f t="shared" si="9"/>
        <v>1.4437960552815701</v>
      </c>
    </row>
    <row r="34" spans="1:13" x14ac:dyDescent="0.25">
      <c r="A34" s="26" t="s">
        <v>113</v>
      </c>
      <c r="B34" s="12"/>
      <c r="C34" s="12"/>
      <c r="D34" s="12"/>
      <c r="E34" s="12"/>
      <c r="F34" s="13"/>
      <c r="H34" s="6" t="s">
        <v>114</v>
      </c>
      <c r="I34" s="7"/>
      <c r="J34" s="7"/>
      <c r="K34" s="7"/>
      <c r="L34" s="7"/>
      <c r="M34" s="8"/>
    </row>
    <row r="35" spans="1:13" x14ac:dyDescent="0.25">
      <c r="A35" s="14" t="s">
        <v>115</v>
      </c>
      <c r="B35" s="15">
        <v>2249837</v>
      </c>
      <c r="C35" s="15">
        <v>2250628</v>
      </c>
      <c r="D35" s="15">
        <v>7945948</v>
      </c>
      <c r="E35" s="15">
        <v>1674236</v>
      </c>
      <c r="F35" s="16">
        <v>0</v>
      </c>
      <c r="H35" s="33" t="s">
        <v>116</v>
      </c>
      <c r="M35" s="68"/>
    </row>
    <row r="36" spans="1:13" x14ac:dyDescent="0.25">
      <c r="A36" s="14" t="s">
        <v>117</v>
      </c>
      <c r="B36" s="15">
        <v>187790</v>
      </c>
      <c r="C36" s="15">
        <v>224451</v>
      </c>
      <c r="D36" s="15">
        <v>190058</v>
      </c>
      <c r="E36" s="15">
        <v>242185</v>
      </c>
      <c r="F36" s="16">
        <v>214695</v>
      </c>
      <c r="H36" s="33" t="s">
        <v>118</v>
      </c>
      <c r="M36" s="68"/>
    </row>
    <row r="37" spans="1:13" x14ac:dyDescent="0.25">
      <c r="A37" s="14" t="s">
        <v>119</v>
      </c>
      <c r="B37" s="15">
        <v>17844706</v>
      </c>
      <c r="C37" s="15">
        <v>17345408</v>
      </c>
      <c r="D37" s="15">
        <v>23847688</v>
      </c>
      <c r="E37" s="15">
        <v>25743242</v>
      </c>
      <c r="F37" s="16">
        <v>33699877</v>
      </c>
      <c r="H37" s="6" t="s">
        <v>120</v>
      </c>
      <c r="I37" s="7"/>
      <c r="J37" s="7"/>
      <c r="K37" s="7"/>
      <c r="L37" s="7"/>
      <c r="M37" s="8"/>
    </row>
    <row r="38" spans="1:13" x14ac:dyDescent="0.25">
      <c r="A38" s="30" t="s">
        <v>121</v>
      </c>
      <c r="B38" s="31">
        <v>0</v>
      </c>
      <c r="C38" s="31">
        <v>446725</v>
      </c>
      <c r="D38" s="31">
        <v>0</v>
      </c>
      <c r="E38" s="31">
        <v>6630907</v>
      </c>
      <c r="F38" s="32">
        <v>651089</v>
      </c>
      <c r="H38" s="33" t="s">
        <v>122</v>
      </c>
      <c r="I38" s="69">
        <f>'Kri-Kri Milk Stock Price Histor'!B53</f>
        <v>6.54</v>
      </c>
      <c r="J38" s="69">
        <f>'Kri-Kri Milk Stock Price Histor'!B105</f>
        <v>8.5</v>
      </c>
      <c r="K38" s="69">
        <f>'Kri-Kri Milk Stock Price Histor'!B157</f>
        <v>6.2</v>
      </c>
      <c r="L38" s="69">
        <f>'Kri-Kri Milk Stock Price Histor'!B210</f>
        <v>9.8000000000000007</v>
      </c>
      <c r="M38" s="70">
        <f>'Kri-Kri Milk Stock Price Histor'!B262</f>
        <v>15.55</v>
      </c>
    </row>
    <row r="39" spans="1:13" x14ac:dyDescent="0.25">
      <c r="A39" s="6" t="s">
        <v>123</v>
      </c>
      <c r="B39" s="34">
        <v>20282333</v>
      </c>
      <c r="C39" s="34">
        <v>20267212</v>
      </c>
      <c r="D39" s="34">
        <v>31983694</v>
      </c>
      <c r="E39" s="34">
        <v>34290570</v>
      </c>
      <c r="F39" s="35">
        <v>34565661</v>
      </c>
      <c r="H39" s="33" t="s">
        <v>124</v>
      </c>
      <c r="I39" s="69" t="s">
        <v>125</v>
      </c>
      <c r="J39" s="71">
        <f>(J38-I38)/I38</f>
        <v>0.29969418960244598</v>
      </c>
      <c r="K39" s="71">
        <f>(K38-J38)/J38</f>
        <v>-0.27058823529411802</v>
      </c>
      <c r="L39" s="71">
        <f>(L38-K38)/K38</f>
        <v>0.58064516129032295</v>
      </c>
      <c r="M39" s="71">
        <f>(M38-L38)/L38</f>
        <v>0.58673469387755095</v>
      </c>
    </row>
    <row r="40" spans="1:13" x14ac:dyDescent="0.25">
      <c r="A40" s="6" t="s">
        <v>126</v>
      </c>
      <c r="B40" s="34">
        <v>39524573</v>
      </c>
      <c r="C40" s="34">
        <v>37143315</v>
      </c>
      <c r="D40" s="34">
        <v>49195725</v>
      </c>
      <c r="E40" s="34">
        <v>55797634</v>
      </c>
      <c r="F40" s="35">
        <v>50583708</v>
      </c>
      <c r="H40" s="33" t="s">
        <v>127</v>
      </c>
      <c r="I40" s="72">
        <v>33063986</v>
      </c>
      <c r="J40" s="72">
        <v>32956971</v>
      </c>
      <c r="K40" s="72">
        <v>32947090</v>
      </c>
      <c r="L40" s="72">
        <v>32992055</v>
      </c>
      <c r="M40" s="73">
        <v>32996552</v>
      </c>
    </row>
    <row r="41" spans="1:13" x14ac:dyDescent="0.25">
      <c r="A41" s="23" t="s">
        <v>128</v>
      </c>
      <c r="B41" s="24">
        <v>115407570</v>
      </c>
      <c r="C41" s="24">
        <v>119974280</v>
      </c>
      <c r="D41" s="24">
        <v>128097844</v>
      </c>
      <c r="E41" s="24">
        <v>160496937</v>
      </c>
      <c r="F41" s="25">
        <v>178037686</v>
      </c>
      <c r="H41" s="33" t="s">
        <v>129</v>
      </c>
      <c r="I41" s="66">
        <f>I19/I40</f>
        <v>0.47975498174962899</v>
      </c>
      <c r="J41" s="66">
        <f>J19/J40</f>
        <v>0.40081626433448603</v>
      </c>
      <c r="K41" s="66">
        <f>K19/K40</f>
        <v>9.6366659392377305E-2</v>
      </c>
      <c r="L41" s="66">
        <f>L19/L40</f>
        <v>0.97809063424512399</v>
      </c>
      <c r="M41" s="67">
        <f>M19/M40</f>
        <v>1.0469887277919201</v>
      </c>
    </row>
    <row r="42" spans="1:13" x14ac:dyDescent="0.25">
      <c r="H42" s="33" t="s">
        <v>130</v>
      </c>
      <c r="I42" s="74">
        <f>I38/I41</f>
        <v>13.631958497125201</v>
      </c>
      <c r="J42" s="74">
        <f>J38/J41</f>
        <v>21.206724268321199</v>
      </c>
      <c r="K42" s="74">
        <f>K38/K41</f>
        <v>64.337604303116805</v>
      </c>
      <c r="L42" s="74">
        <f>L38/L41</f>
        <v>10.0195213581239</v>
      </c>
      <c r="M42" s="75">
        <f>M38/M41</f>
        <v>14.8521178759915</v>
      </c>
    </row>
    <row r="43" spans="1:13" x14ac:dyDescent="0.25">
      <c r="H43" s="33" t="s">
        <v>131</v>
      </c>
      <c r="I43" s="76">
        <f>(I38*I40+(B28+B29+B35+B36-B16))/I12</f>
        <v>9.5836144591881052</v>
      </c>
      <c r="J43" s="76">
        <f>(J38*J40+(C28+C29+C35+C36-C16))/J12</f>
        <v>13.043698229230101</v>
      </c>
      <c r="K43" s="76">
        <f>(K38*K40+(D28+D29+D35+D36-D16))/K12</f>
        <v>22.911149315690199</v>
      </c>
      <c r="L43" s="76">
        <f>(L38*L40+(E28+E29+E35+E36-E16))/L12</f>
        <v>6.9023026250878798</v>
      </c>
      <c r="M43" s="77">
        <f>(M38*M40+(F28+F29+F35+F36-F16))/M12</f>
        <v>11.6541762634835</v>
      </c>
    </row>
    <row r="44" spans="1:13" x14ac:dyDescent="0.25">
      <c r="H44" s="33" t="s">
        <v>132</v>
      </c>
      <c r="I44" s="76">
        <v>5580050</v>
      </c>
      <c r="J44" s="78">
        <v>6976362</v>
      </c>
      <c r="K44" s="78">
        <v>6608388</v>
      </c>
      <c r="L44" s="78">
        <v>6607697</v>
      </c>
      <c r="M44" s="79">
        <v>11570241</v>
      </c>
    </row>
    <row r="45" spans="1:13" x14ac:dyDescent="0.25">
      <c r="H45" s="33" t="s">
        <v>133</v>
      </c>
      <c r="I45" s="76">
        <f>I44/I40</f>
        <v>0.16876519364604101</v>
      </c>
      <c r="J45" s="76">
        <f>J44/J40</f>
        <v>0.21168092176917599</v>
      </c>
      <c r="K45" s="76">
        <f>K44/K40</f>
        <v>0.20057577163870899</v>
      </c>
      <c r="L45" s="76">
        <f>L44/L40</f>
        <v>0.200281461703431</v>
      </c>
      <c r="M45" s="77">
        <f>M44/M40</f>
        <v>0.35065000124861501</v>
      </c>
    </row>
    <row r="46" spans="1:13" x14ac:dyDescent="0.25">
      <c r="H46" s="38" t="s">
        <v>134</v>
      </c>
      <c r="I46" s="80">
        <f>I45/I38</f>
        <v>2.5805075481046099E-2</v>
      </c>
      <c r="J46" s="80">
        <f>J45/J38</f>
        <v>2.4903637855197201E-2</v>
      </c>
      <c r="K46" s="80">
        <f>K45/K38</f>
        <v>3.2350930909469201E-2</v>
      </c>
      <c r="L46" s="80">
        <f>L45/L38</f>
        <v>2.0436883847288902E-2</v>
      </c>
      <c r="M46" s="81">
        <f>M45/M38</f>
        <v>2.2549839308592601E-2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A62E-1403-4BEB-B931-F36B894622AB}">
  <dimension ref="A1:M71"/>
  <sheetViews>
    <sheetView zoomScale="55" zoomScaleNormal="55" workbookViewId="0">
      <selection activeCell="C32" sqref="C32"/>
    </sheetView>
  </sheetViews>
  <sheetFormatPr defaultRowHeight="13.8" x14ac:dyDescent="0.25"/>
  <cols>
    <col min="1" max="1" width="46.21875" style="114" bestFit="1" customWidth="1"/>
    <col min="2" max="2" width="13" style="114" bestFit="1" customWidth="1"/>
    <col min="3" max="3" width="8.5546875" style="114" bestFit="1" customWidth="1"/>
    <col min="4" max="5" width="8.88671875" style="1"/>
    <col min="6" max="6" width="16.6640625" style="1" bestFit="1" customWidth="1"/>
    <col min="7" max="11" width="24.109375" style="1" bestFit="1" customWidth="1"/>
    <col min="12" max="16384" width="8.88671875" style="1"/>
  </cols>
  <sheetData>
    <row r="1" spans="1:13" x14ac:dyDescent="0.25">
      <c r="A1" s="111" t="s">
        <v>142</v>
      </c>
      <c r="B1" s="111" t="s">
        <v>143</v>
      </c>
      <c r="C1" s="111" t="s">
        <v>144</v>
      </c>
      <c r="F1" s="112"/>
      <c r="G1" s="113">
        <v>2020</v>
      </c>
      <c r="H1" s="113">
        <v>2021</v>
      </c>
      <c r="I1" s="113">
        <v>2022</v>
      </c>
      <c r="J1" s="113">
        <v>2023</v>
      </c>
      <c r="K1" s="113">
        <v>2024</v>
      </c>
      <c r="M1" s="1" t="s">
        <v>184</v>
      </c>
    </row>
    <row r="2" spans="1:13" x14ac:dyDescent="0.25">
      <c r="A2" s="114" t="s">
        <v>169</v>
      </c>
      <c r="B2" s="114">
        <v>15980000000</v>
      </c>
      <c r="C2" s="114">
        <v>17.559999999999999</v>
      </c>
      <c r="F2" s="122" t="s">
        <v>175</v>
      </c>
      <c r="G2" s="122"/>
      <c r="H2" s="122"/>
      <c r="I2" s="122"/>
      <c r="J2" s="122"/>
      <c r="K2" s="122"/>
    </row>
    <row r="3" spans="1:13" x14ac:dyDescent="0.25">
      <c r="A3" s="114" t="s">
        <v>171</v>
      </c>
      <c r="B3" s="114">
        <v>12770000000</v>
      </c>
      <c r="C3" s="114">
        <v>9.5</v>
      </c>
      <c r="F3" s="1" t="s">
        <v>178</v>
      </c>
      <c r="G3" s="66">
        <v>26.42</v>
      </c>
      <c r="H3" s="66">
        <v>30.26</v>
      </c>
      <c r="I3" s="108">
        <v>22.6</v>
      </c>
      <c r="J3" s="109">
        <v>26.57</v>
      </c>
      <c r="K3" s="110">
        <v>33.299999999999997</v>
      </c>
      <c r="L3" s="115"/>
    </row>
    <row r="4" spans="1:13" x14ac:dyDescent="0.25">
      <c r="A4" s="114" t="s">
        <v>147</v>
      </c>
      <c r="B4" s="114">
        <v>8700000000</v>
      </c>
      <c r="C4" s="114">
        <v>8.75</v>
      </c>
      <c r="F4" s="1" t="s">
        <v>143</v>
      </c>
      <c r="G4" s="66">
        <f>G3*364300000</f>
        <v>9624806000</v>
      </c>
      <c r="H4" s="66">
        <f t="shared" ref="H4:K4" si="0">H3*364300000</f>
        <v>11023718000</v>
      </c>
      <c r="I4" s="66">
        <f t="shared" si="0"/>
        <v>8233180000.000001</v>
      </c>
      <c r="J4" s="66">
        <f t="shared" si="0"/>
        <v>9679451000</v>
      </c>
      <c r="K4" s="66">
        <f t="shared" si="0"/>
        <v>12131189999.999998</v>
      </c>
    </row>
    <row r="5" spans="1:13" x14ac:dyDescent="0.25">
      <c r="A5" s="114" t="s">
        <v>148</v>
      </c>
      <c r="B5" s="114">
        <v>8330000000</v>
      </c>
      <c r="C5" s="114">
        <v>10.4</v>
      </c>
      <c r="F5" s="1" t="s">
        <v>176</v>
      </c>
      <c r="G5" s="66">
        <f>1000000*414.9</f>
        <v>414900000</v>
      </c>
      <c r="H5" s="66">
        <f>1000000*547.2</f>
        <v>547200000</v>
      </c>
      <c r="I5" s="66">
        <f>1000000*415.4</f>
        <v>415400000</v>
      </c>
      <c r="J5" s="66">
        <f>1000000*636.5</f>
        <v>636500000</v>
      </c>
      <c r="K5" s="66">
        <f>1000000*820.6</f>
        <v>820600000</v>
      </c>
    </row>
    <row r="6" spans="1:13" x14ac:dyDescent="0.25">
      <c r="A6" s="114" t="s">
        <v>150</v>
      </c>
      <c r="B6" s="114">
        <v>6270000000</v>
      </c>
      <c r="C6" s="114">
        <v>16.8</v>
      </c>
      <c r="F6" s="1" t="s">
        <v>177</v>
      </c>
      <c r="G6" s="66">
        <f>G4+G8-G9</f>
        <v>11134506000</v>
      </c>
      <c r="H6" s="66">
        <f t="shared" ref="H6:K6" si="1">H4+H8-H9</f>
        <v>12943318000</v>
      </c>
      <c r="I6" s="66">
        <f t="shared" si="1"/>
        <v>10765680000</v>
      </c>
      <c r="J6" s="66">
        <f t="shared" si="1"/>
        <v>11629651000</v>
      </c>
      <c r="K6" s="66">
        <f t="shared" si="1"/>
        <v>14345989999.999998</v>
      </c>
    </row>
    <row r="7" spans="1:13" x14ac:dyDescent="0.25">
      <c r="A7" s="114" t="s">
        <v>157</v>
      </c>
      <c r="B7" s="114">
        <v>3780000000</v>
      </c>
      <c r="C7" s="114">
        <v>12.06</v>
      </c>
      <c r="F7" s="1" t="s">
        <v>40</v>
      </c>
      <c r="G7" s="66">
        <v>2633300000</v>
      </c>
      <c r="H7" s="66">
        <v>3117100000</v>
      </c>
      <c r="I7" s="66">
        <v>3385600000</v>
      </c>
      <c r="J7" s="66">
        <v>3186700000</v>
      </c>
      <c r="K7" s="66">
        <v>3303000000</v>
      </c>
    </row>
    <row r="8" spans="1:13" x14ac:dyDescent="0.25">
      <c r="A8" s="114" t="s">
        <v>158</v>
      </c>
      <c r="B8" s="114">
        <v>3480000000</v>
      </c>
      <c r="C8" s="114">
        <v>7.55</v>
      </c>
      <c r="F8" s="1" t="s">
        <v>179</v>
      </c>
      <c r="G8" s="66">
        <v>2725500000</v>
      </c>
      <c r="H8" s="66">
        <f>2702.4*1000000</f>
        <v>2702400000</v>
      </c>
      <c r="I8" s="66">
        <f>1000000*3252.4</f>
        <v>3252400000</v>
      </c>
      <c r="J8" s="66">
        <f>1000000*3210.8</f>
        <v>3210800000</v>
      </c>
      <c r="K8" s="66">
        <f>1000000*3762.9</f>
        <v>3762900000</v>
      </c>
    </row>
    <row r="9" spans="1:13" x14ac:dyDescent="0.25">
      <c r="A9" s="114" t="s">
        <v>159</v>
      </c>
      <c r="B9" s="114">
        <v>3360000000</v>
      </c>
      <c r="C9" s="114">
        <v>13.93</v>
      </c>
      <c r="F9" s="1" t="s">
        <v>180</v>
      </c>
      <c r="G9" s="116">
        <f>1000000*1215.8</f>
        <v>1215800000</v>
      </c>
      <c r="H9" s="116">
        <f>1000000*782.8</f>
        <v>782800000</v>
      </c>
      <c r="I9" s="116">
        <f>1000000*719.9</f>
        <v>719900000</v>
      </c>
      <c r="J9" s="116">
        <f>1000000*1260.6</f>
        <v>1260600000</v>
      </c>
      <c r="K9" s="116">
        <f>1000000*1548.1</f>
        <v>1548100000</v>
      </c>
    </row>
    <row r="10" spans="1:13" x14ac:dyDescent="0.25">
      <c r="A10" s="114" t="s">
        <v>160</v>
      </c>
      <c r="B10" s="114">
        <v>3180000000</v>
      </c>
      <c r="C10" s="114">
        <v>16.96</v>
      </c>
      <c r="F10" s="1" t="s">
        <v>71</v>
      </c>
      <c r="G10" s="66">
        <f>1000000*967.3</f>
        <v>967300000</v>
      </c>
      <c r="H10" s="66">
        <f>1000000*1078.4</f>
        <v>1078400000</v>
      </c>
      <c r="I10" s="66">
        <f>1000000*1224.9</f>
        <v>1224900000</v>
      </c>
      <c r="J10" s="66">
        <f>1000000*1286.6</f>
        <v>1286600000</v>
      </c>
      <c r="K10" s="66">
        <f>1000000*1490.8</f>
        <v>1490800000</v>
      </c>
    </row>
    <row r="11" spans="1:13" x14ac:dyDescent="0.25">
      <c r="A11" s="114" t="s">
        <v>165</v>
      </c>
      <c r="B11" s="114">
        <v>2600000000</v>
      </c>
      <c r="C11" s="114">
        <v>15.26</v>
      </c>
      <c r="F11" s="117" t="s">
        <v>92</v>
      </c>
      <c r="G11" s="118">
        <f>G5/G7</f>
        <v>0.1575589564424866</v>
      </c>
      <c r="H11" s="118">
        <f t="shared" ref="H11:K11" si="2">H5/H7</f>
        <v>0.17554778479997432</v>
      </c>
      <c r="I11" s="118">
        <f t="shared" si="2"/>
        <v>0.1226961247637051</v>
      </c>
      <c r="J11" s="118">
        <f t="shared" si="2"/>
        <v>0.199736404430916</v>
      </c>
      <c r="K11" s="118">
        <f t="shared" si="2"/>
        <v>0.24844081138359067</v>
      </c>
    </row>
    <row r="12" spans="1:13" x14ac:dyDescent="0.25">
      <c r="A12" s="114" t="s">
        <v>172</v>
      </c>
      <c r="B12" s="114">
        <v>1890000000</v>
      </c>
      <c r="C12" s="114">
        <v>133.66999999999999</v>
      </c>
      <c r="F12" s="117" t="s">
        <v>130</v>
      </c>
      <c r="G12" s="118">
        <f>G4/G5</f>
        <v>23.197893468305615</v>
      </c>
      <c r="H12" s="118">
        <f t="shared" ref="H12:K12" si="3">H4/H5</f>
        <v>20.145683479532163</v>
      </c>
      <c r="I12" s="118">
        <f t="shared" si="3"/>
        <v>19.819884448724125</v>
      </c>
      <c r="J12" s="118">
        <f t="shared" si="3"/>
        <v>15.207307148468185</v>
      </c>
      <c r="K12" s="118">
        <f t="shared" si="3"/>
        <v>14.783317085059711</v>
      </c>
    </row>
    <row r="13" spans="1:13" x14ac:dyDescent="0.25">
      <c r="A13" s="114" t="s">
        <v>173</v>
      </c>
      <c r="B13" s="114">
        <v>1470000000</v>
      </c>
      <c r="C13" s="114">
        <v>11.7</v>
      </c>
      <c r="F13" s="117" t="s">
        <v>181</v>
      </c>
      <c r="G13" s="118">
        <f>G6/G10</f>
        <v>11.510912850201592</v>
      </c>
      <c r="H13" s="118">
        <f t="shared" ref="H13:K13" si="4">H6/H10</f>
        <v>12.002334940652819</v>
      </c>
      <c r="I13" s="118">
        <f t="shared" si="4"/>
        <v>8.7890276757286312</v>
      </c>
      <c r="J13" s="118">
        <f t="shared" si="4"/>
        <v>9.0390572050365297</v>
      </c>
      <c r="K13" s="118">
        <f t="shared" si="4"/>
        <v>9.6230144888650369</v>
      </c>
    </row>
    <row r="14" spans="1:13" x14ac:dyDescent="0.25">
      <c r="A14" s="114" t="s">
        <v>174</v>
      </c>
      <c r="B14" s="114">
        <v>1290000000</v>
      </c>
      <c r="C14" s="114">
        <v>8.84</v>
      </c>
      <c r="F14" s="117" t="s">
        <v>134</v>
      </c>
      <c r="G14" s="119">
        <v>2.7799999999999998E-2</v>
      </c>
      <c r="H14" s="119">
        <v>2.07E-2</v>
      </c>
      <c r="I14" s="119">
        <v>3.2899999999999999E-2</v>
      </c>
      <c r="J14" s="119">
        <v>5.1700000000000003E-2</v>
      </c>
      <c r="K14" s="119">
        <v>2.9100000000000001E-2</v>
      </c>
    </row>
    <row r="15" spans="1:13" x14ac:dyDescent="0.25">
      <c r="A15" s="114" t="s">
        <v>146</v>
      </c>
      <c r="B15" s="114">
        <v>823250000</v>
      </c>
      <c r="C15" s="114">
        <v>-832.26</v>
      </c>
      <c r="F15" s="123" t="s">
        <v>182</v>
      </c>
      <c r="G15" s="123"/>
      <c r="H15" s="123"/>
      <c r="I15" s="123"/>
      <c r="J15" s="123"/>
      <c r="K15" s="123"/>
    </row>
    <row r="16" spans="1:13" x14ac:dyDescent="0.25">
      <c r="A16" s="114" t="s">
        <v>149</v>
      </c>
      <c r="B16" s="114">
        <v>697670000</v>
      </c>
      <c r="C16" s="114">
        <v>9.9</v>
      </c>
      <c r="F16" s="1" t="s">
        <v>178</v>
      </c>
      <c r="G16" s="66">
        <v>0.5786</v>
      </c>
      <c r="H16" s="66">
        <v>0.89139999999999997</v>
      </c>
      <c r="I16" s="66">
        <v>1.0549999999999999</v>
      </c>
      <c r="J16" s="66">
        <v>1.61</v>
      </c>
      <c r="K16" s="66">
        <v>2.2839999999999998</v>
      </c>
    </row>
    <row r="17" spans="1:11" x14ac:dyDescent="0.25">
      <c r="A17" s="114" t="s">
        <v>151</v>
      </c>
      <c r="B17" s="114">
        <v>568590000</v>
      </c>
      <c r="C17" s="114">
        <v>7</v>
      </c>
      <c r="F17" s="1" t="s">
        <v>143</v>
      </c>
      <c r="G17" s="66">
        <f>G16*3698275862</f>
        <v>2139822413.7532001</v>
      </c>
      <c r="H17" s="66">
        <f t="shared" ref="H17:K17" si="5">H16*3698275862</f>
        <v>3296643103.3867998</v>
      </c>
      <c r="I17" s="66">
        <f t="shared" si="5"/>
        <v>3901681034.4099998</v>
      </c>
      <c r="J17" s="66">
        <f t="shared" si="5"/>
        <v>5954224137.8200006</v>
      </c>
      <c r="K17" s="66">
        <f t="shared" si="5"/>
        <v>8446862068.8079996</v>
      </c>
    </row>
    <row r="18" spans="1:11" x14ac:dyDescent="0.25">
      <c r="A18" s="114" t="s">
        <v>153</v>
      </c>
      <c r="B18" s="114">
        <v>461780000</v>
      </c>
      <c r="C18" s="114">
        <v>-15.85</v>
      </c>
      <c r="F18" s="1" t="s">
        <v>176</v>
      </c>
      <c r="G18" s="66">
        <f>1000000*-1215</f>
        <v>-1215000000</v>
      </c>
      <c r="H18" s="66">
        <f>1000000*328</f>
        <v>328000000</v>
      </c>
      <c r="I18" s="66">
        <f>1000000*1347</f>
        <v>1347000000</v>
      </c>
      <c r="J18" s="66">
        <f>1000000*1140</f>
        <v>1140000000</v>
      </c>
      <c r="K18" s="66">
        <f>1000000*1448</f>
        <v>1448000000</v>
      </c>
    </row>
    <row r="19" spans="1:11" x14ac:dyDescent="0.25">
      <c r="A19" s="114" t="s">
        <v>154</v>
      </c>
      <c r="B19" s="114">
        <v>416580000</v>
      </c>
      <c r="C19" s="114">
        <v>7.13</v>
      </c>
      <c r="F19" s="1" t="s">
        <v>177</v>
      </c>
      <c r="G19" s="66">
        <f>G17+G21-G22</f>
        <v>12284822413.753201</v>
      </c>
      <c r="H19" s="66">
        <f t="shared" ref="H19:K19" si="6">H17+H21-H22</f>
        <v>17678643103.386799</v>
      </c>
      <c r="I19" s="66">
        <f t="shared" si="6"/>
        <v>16938681034.41</v>
      </c>
      <c r="J19" s="66">
        <f t="shared" si="6"/>
        <v>16083224137.82</v>
      </c>
      <c r="K19" s="66">
        <f t="shared" si="6"/>
        <v>16261862068.807999</v>
      </c>
    </row>
    <row r="20" spans="1:11" x14ac:dyDescent="0.25">
      <c r="A20" s="114" t="s">
        <v>155</v>
      </c>
      <c r="B20" s="114">
        <v>367330000</v>
      </c>
      <c r="C20" s="114">
        <v>22.47</v>
      </c>
      <c r="F20" s="1" t="s">
        <v>40</v>
      </c>
      <c r="G20" s="66">
        <f>1000000*5262</f>
        <v>5262000000</v>
      </c>
      <c r="H20" s="66">
        <f>1000000*5635</f>
        <v>5635000000</v>
      </c>
      <c r="I20" s="66">
        <f>1000000*6732</f>
        <v>6732000000</v>
      </c>
      <c r="J20" s="66">
        <f>1000000*7899</f>
        <v>7899000000</v>
      </c>
      <c r="K20" s="66">
        <f>1000000*8899</f>
        <v>8899000000</v>
      </c>
    </row>
    <row r="21" spans="1:11" x14ac:dyDescent="0.25">
      <c r="A21" s="114" t="s">
        <v>156</v>
      </c>
      <c r="B21" s="114">
        <v>362720000</v>
      </c>
      <c r="C21" s="114">
        <v>11.77</v>
      </c>
      <c r="F21" s="1" t="s">
        <v>179</v>
      </c>
      <c r="G21" s="66">
        <f>(10980+37+184)*1000000</f>
        <v>11201000000</v>
      </c>
      <c r="H21" s="66">
        <f>(15117+36+212)*1000000</f>
        <v>15365000000</v>
      </c>
      <c r="I21" s="66">
        <f>(13770+37+168)*1000000</f>
        <v>13975000000</v>
      </c>
      <c r="J21" s="66">
        <f>1000000*(11439+75+115)</f>
        <v>11629000000</v>
      </c>
      <c r="K21" s="66">
        <f>1000000*(9634+40+150)</f>
        <v>9824000000</v>
      </c>
    </row>
    <row r="22" spans="1:11" x14ac:dyDescent="0.25">
      <c r="A22" s="114" t="s">
        <v>161</v>
      </c>
      <c r="B22" s="114">
        <v>280970000</v>
      </c>
      <c r="C22" s="114">
        <v>10.15</v>
      </c>
      <c r="F22" s="1" t="s">
        <v>180</v>
      </c>
      <c r="G22" s="66">
        <f>1000000*1056</f>
        <v>1056000000</v>
      </c>
      <c r="H22" s="66">
        <f>1000000*983</f>
        <v>983000000</v>
      </c>
      <c r="I22" s="66">
        <f>1000000*938</f>
        <v>938000000</v>
      </c>
      <c r="J22" s="66">
        <f>1000000*1500</f>
        <v>1500000000</v>
      </c>
      <c r="K22" s="66">
        <f>1000000*2009</f>
        <v>2009000000</v>
      </c>
    </row>
    <row r="23" spans="1:11" x14ac:dyDescent="0.25">
      <c r="A23" s="114" t="s">
        <v>162</v>
      </c>
      <c r="B23" s="114">
        <v>214700000</v>
      </c>
      <c r="C23" s="114">
        <v>18.899999999999999</v>
      </c>
      <c r="F23" s="1" t="s">
        <v>71</v>
      </c>
    </row>
    <row r="24" spans="1:11" x14ac:dyDescent="0.25">
      <c r="A24" s="114" t="s">
        <v>163</v>
      </c>
      <c r="B24" s="114">
        <v>210130000</v>
      </c>
      <c r="C24" s="114">
        <v>12.1</v>
      </c>
      <c r="F24" s="117" t="s">
        <v>92</v>
      </c>
      <c r="G24" s="118">
        <f>G18/G20</f>
        <v>-0.23090079817559864</v>
      </c>
      <c r="H24" s="118">
        <f t="shared" ref="H24:K24" si="7">H18/H20</f>
        <v>5.8207630878438332E-2</v>
      </c>
      <c r="I24" s="118">
        <f t="shared" si="7"/>
        <v>0.20008912655971481</v>
      </c>
      <c r="J24" s="118">
        <f t="shared" si="7"/>
        <v>0.14432206608431447</v>
      </c>
      <c r="K24" s="118">
        <f t="shared" si="7"/>
        <v>0.16271491178784134</v>
      </c>
    </row>
    <row r="25" spans="1:11" x14ac:dyDescent="0.25">
      <c r="A25" s="114" t="s">
        <v>164</v>
      </c>
      <c r="B25" s="114">
        <v>200280000</v>
      </c>
      <c r="C25" s="114">
        <v>5.27</v>
      </c>
      <c r="F25" s="117" t="s">
        <v>130</v>
      </c>
      <c r="G25" s="118">
        <f>G17/G18</f>
        <v>-1.7611707109079835</v>
      </c>
      <c r="H25" s="118">
        <f t="shared" ref="H25:K25" si="8">H17/H18</f>
        <v>10.050741168862194</v>
      </c>
      <c r="I25" s="118">
        <f t="shared" si="8"/>
        <v>2.896570923838159</v>
      </c>
      <c r="J25" s="118">
        <f t="shared" si="8"/>
        <v>5.2230036296666675</v>
      </c>
      <c r="K25" s="118">
        <f t="shared" si="8"/>
        <v>5.8334682795635358</v>
      </c>
    </row>
    <row r="26" spans="1:11" x14ac:dyDescent="0.25">
      <c r="A26" s="114" t="s">
        <v>166</v>
      </c>
      <c r="B26" s="114">
        <v>171220000</v>
      </c>
      <c r="C26" s="114">
        <v>17.54</v>
      </c>
      <c r="F26" s="117" t="s">
        <v>181</v>
      </c>
      <c r="G26" s="118"/>
      <c r="H26" s="118"/>
      <c r="I26" s="118"/>
      <c r="J26" s="118"/>
      <c r="K26" s="118"/>
    </row>
    <row r="27" spans="1:11" x14ac:dyDescent="0.25">
      <c r="A27" s="114" t="s">
        <v>167</v>
      </c>
      <c r="B27" s="114">
        <v>167830000</v>
      </c>
      <c r="C27" s="114">
        <v>-36.08</v>
      </c>
      <c r="F27" s="117" t="s">
        <v>134</v>
      </c>
      <c r="G27" s="125">
        <f>0.02/G16</f>
        <v>3.4566194262011754E-2</v>
      </c>
      <c r="H27" s="125">
        <v>0</v>
      </c>
      <c r="I27" s="125">
        <v>0</v>
      </c>
      <c r="J27" s="125">
        <v>0</v>
      </c>
      <c r="K27" s="125">
        <f>0.09/K16</f>
        <v>3.94045534150613E-2</v>
      </c>
    </row>
    <row r="28" spans="1:11" x14ac:dyDescent="0.25">
      <c r="A28" s="114" t="s">
        <v>168</v>
      </c>
      <c r="B28" s="114">
        <v>162070000</v>
      </c>
      <c r="C28" s="114">
        <v>9.59</v>
      </c>
      <c r="F28" s="123" t="s">
        <v>157</v>
      </c>
      <c r="G28" s="123"/>
      <c r="H28" s="123"/>
      <c r="I28" s="123"/>
      <c r="J28" s="123"/>
      <c r="K28" s="123"/>
    </row>
    <row r="29" spans="1:11" x14ac:dyDescent="0.25">
      <c r="A29" s="114" t="s">
        <v>170</v>
      </c>
      <c r="B29" s="114">
        <v>137370000</v>
      </c>
      <c r="C29" s="114">
        <v>4.7</v>
      </c>
      <c r="F29" s="1" t="s">
        <v>178</v>
      </c>
      <c r="G29" s="66">
        <v>14.2</v>
      </c>
      <c r="H29" s="66">
        <f>12.6</f>
        <v>12.6</v>
      </c>
      <c r="I29" s="66">
        <f>15.98</f>
        <v>15.98</v>
      </c>
      <c r="J29" s="66">
        <f>25.12</f>
        <v>25.12</v>
      </c>
      <c r="K29" s="66">
        <f>25.56</f>
        <v>25.56</v>
      </c>
    </row>
    <row r="30" spans="1:11" x14ac:dyDescent="0.25">
      <c r="A30" s="114" t="s">
        <v>145</v>
      </c>
      <c r="B30" s="114">
        <v>97440000</v>
      </c>
      <c r="C30" s="114">
        <v>10.17</v>
      </c>
      <c r="F30" s="1" t="s">
        <v>143</v>
      </c>
      <c r="G30" s="66">
        <f>1000000000*1.933</f>
        <v>1933000000</v>
      </c>
      <c r="H30" s="66">
        <f>1000000000*1.714</f>
        <v>1714000000</v>
      </c>
      <c r="I30" s="66">
        <f>1000000000*2.174</f>
        <v>2174000000</v>
      </c>
      <c r="J30" s="66">
        <f>1000000000*3.418</f>
        <v>3418000000</v>
      </c>
      <c r="K30" s="66">
        <f>1000000000*3.454</f>
        <v>3454000000</v>
      </c>
    </row>
    <row r="31" spans="1:11" x14ac:dyDescent="0.25">
      <c r="A31" s="114" t="s">
        <v>152</v>
      </c>
      <c r="B31" s="114">
        <v>52620000</v>
      </c>
      <c r="C31" s="114">
        <v>12.68</v>
      </c>
      <c r="F31" s="1" t="s">
        <v>176</v>
      </c>
      <c r="G31" s="66">
        <f>1000000*138.67</f>
        <v>138670000</v>
      </c>
      <c r="H31" s="66">
        <f>1000000*216.59</f>
        <v>216590000</v>
      </c>
      <c r="I31" s="66">
        <f>1000000*248.6</f>
        <v>248600000</v>
      </c>
      <c r="J31" s="66">
        <f>1000000*303</f>
        <v>303000000</v>
      </c>
      <c r="K31" s="66">
        <f>1000000*320.1</f>
        <v>320100000</v>
      </c>
    </row>
    <row r="32" spans="1:11" x14ac:dyDescent="0.25">
      <c r="B32" s="114">
        <f>SUM(B1:B31)</f>
        <v>78492550000</v>
      </c>
      <c r="C32" s="114">
        <f>SUMPRODUCT(B2:B31,C2:C31)/B32</f>
        <v>6.4814677711451596</v>
      </c>
      <c r="D32" s="1">
        <f>1/C32</f>
        <v>0.15428604064836965</v>
      </c>
      <c r="F32" s="1" t="s">
        <v>177</v>
      </c>
      <c r="G32" s="66">
        <f>G30+G34-G35</f>
        <v>1858610000</v>
      </c>
      <c r="H32" s="66">
        <f t="shared" ref="H32:K32" si="9">H30+H34-H35</f>
        <v>1398170000</v>
      </c>
      <c r="I32" s="66">
        <f t="shared" si="9"/>
        <v>1860750000</v>
      </c>
      <c r="J32" s="66">
        <f t="shared" si="9"/>
        <v>3058010000</v>
      </c>
      <c r="K32" s="66">
        <f t="shared" si="9"/>
        <v>3084360000</v>
      </c>
    </row>
    <row r="33" spans="6:11" x14ac:dyDescent="0.25">
      <c r="F33" s="1" t="s">
        <v>40</v>
      </c>
      <c r="G33" s="66">
        <f>1000000*1219.49</f>
        <v>1219490000</v>
      </c>
      <c r="H33" s="66">
        <f>1000000*1328.33</f>
        <v>1328330000</v>
      </c>
      <c r="I33" s="66">
        <f>1000000*1421.86</f>
        <v>1421860000</v>
      </c>
      <c r="J33" s="66">
        <f>1000000*1327.57</f>
        <v>1327570000</v>
      </c>
      <c r="K33" s="66">
        <f>1000000*1408.14</f>
        <v>1408140000</v>
      </c>
    </row>
    <row r="34" spans="6:11" x14ac:dyDescent="0.25">
      <c r="F34" s="1" t="s">
        <v>179</v>
      </c>
      <c r="G34" s="66">
        <v>305830000</v>
      </c>
      <c r="H34" s="66">
        <v>288990000</v>
      </c>
      <c r="I34" s="66">
        <v>280460000</v>
      </c>
      <c r="J34" s="66">
        <v>74010000</v>
      </c>
      <c r="K34" s="66">
        <v>75180000</v>
      </c>
    </row>
    <row r="35" spans="6:11" x14ac:dyDescent="0.25">
      <c r="F35" s="1" t="s">
        <v>180</v>
      </c>
      <c r="G35" s="66">
        <f>1000000*380.22</f>
        <v>380220000</v>
      </c>
      <c r="H35" s="66">
        <f>1000000*604.82</f>
        <v>604820000</v>
      </c>
      <c r="I35" s="66">
        <f>1000000*593.71</f>
        <v>593710000</v>
      </c>
      <c r="J35" s="66">
        <f>1000000*434</f>
        <v>434000000</v>
      </c>
      <c r="K35" s="66">
        <f>1000000*444.82</f>
        <v>444820000</v>
      </c>
    </row>
    <row r="36" spans="6:11" x14ac:dyDescent="0.25">
      <c r="F36" s="1" t="s">
        <v>71</v>
      </c>
      <c r="G36" s="66">
        <f>1000000*197.6</f>
        <v>197600000</v>
      </c>
      <c r="H36" s="66">
        <f>1000000*291.4</f>
        <v>291400000</v>
      </c>
      <c r="I36" s="66">
        <f>1000000*327.8</f>
        <v>327800000</v>
      </c>
      <c r="J36" s="66">
        <f>1000000*389.6</f>
        <v>389600000</v>
      </c>
      <c r="K36" s="66">
        <f>1000000*415.6</f>
        <v>415600000</v>
      </c>
    </row>
    <row r="37" spans="6:11" x14ac:dyDescent="0.25">
      <c r="F37" s="117" t="s">
        <v>92</v>
      </c>
      <c r="G37" s="118">
        <f>G31/G33</f>
        <v>0.11371146954874578</v>
      </c>
      <c r="H37" s="118">
        <f t="shared" ref="H37:K37" si="10">H31/H33</f>
        <v>0.16305436149149685</v>
      </c>
      <c r="I37" s="118">
        <f t="shared" si="10"/>
        <v>0.17484140492031564</v>
      </c>
      <c r="J37" s="118">
        <f t="shared" si="10"/>
        <v>0.22823655249817335</v>
      </c>
      <c r="K37" s="118">
        <f t="shared" si="10"/>
        <v>0.22732114704503814</v>
      </c>
    </row>
    <row r="38" spans="6:11" x14ac:dyDescent="0.25">
      <c r="F38" s="117" t="s">
        <v>130</v>
      </c>
      <c r="G38" s="118">
        <f>G30/G31</f>
        <v>13.939568760366337</v>
      </c>
      <c r="H38" s="118">
        <f t="shared" ref="H38:K38" si="11">H30/H31</f>
        <v>7.913569416870585</v>
      </c>
      <c r="I38" s="118">
        <f t="shared" si="11"/>
        <v>8.7449718423169749</v>
      </c>
      <c r="J38" s="118">
        <f t="shared" si="11"/>
        <v>11.28052805280528</v>
      </c>
      <c r="K38" s="118">
        <f t="shared" si="11"/>
        <v>10.790378006872853</v>
      </c>
    </row>
    <row r="39" spans="6:11" x14ac:dyDescent="0.25">
      <c r="F39" s="117" t="s">
        <v>181</v>
      </c>
      <c r="G39" s="118">
        <f>G32/G36</f>
        <v>9.4059210526315784</v>
      </c>
      <c r="H39" s="118">
        <f t="shared" ref="H39:K39" si="12">H32/H36</f>
        <v>4.798112560054907</v>
      </c>
      <c r="I39" s="118">
        <f t="shared" si="12"/>
        <v>5.6764795607077483</v>
      </c>
      <c r="J39" s="118">
        <f t="shared" si="12"/>
        <v>7.8491016427104725</v>
      </c>
      <c r="K39" s="118">
        <f t="shared" si="12"/>
        <v>7.4214629451395568</v>
      </c>
    </row>
    <row r="40" spans="6:11" x14ac:dyDescent="0.25">
      <c r="F40" s="117" t="s">
        <v>134</v>
      </c>
      <c r="G40" s="126">
        <f>(0.38+0.24+0.06+0.22)/G29</f>
        <v>6.3380281690140844E-2</v>
      </c>
      <c r="H40" s="126">
        <f>(0.3+0.47)/H29</f>
        <v>6.1111111111111116E-2</v>
      </c>
      <c r="I40" s="126">
        <f>(0.39*3)/I29</f>
        <v>7.3216520650813507E-2</v>
      </c>
      <c r="J40" s="126">
        <f>(1.16+0.32+1.47)/J29</f>
        <v>0.11743630573248408</v>
      </c>
      <c r="K40" s="126">
        <f>(1.6)/K29</f>
        <v>6.2597809076682318E-2</v>
      </c>
    </row>
    <row r="41" spans="6:11" x14ac:dyDescent="0.25">
      <c r="F41" s="123" t="s">
        <v>183</v>
      </c>
      <c r="G41" s="123"/>
      <c r="H41" s="123"/>
      <c r="I41" s="123"/>
      <c r="J41" s="123"/>
      <c r="K41" s="123"/>
    </row>
    <row r="42" spans="6:11" x14ac:dyDescent="0.25">
      <c r="F42" s="1" t="s">
        <v>178</v>
      </c>
      <c r="G42" s="66">
        <f>7.34</f>
        <v>7.34</v>
      </c>
      <c r="H42" s="66">
        <v>9.4</v>
      </c>
      <c r="I42" s="66">
        <f>6.55</f>
        <v>6.55</v>
      </c>
      <c r="J42" s="66">
        <f>11.16</f>
        <v>11.16</v>
      </c>
      <c r="K42" s="66">
        <f>12.34</f>
        <v>12.34</v>
      </c>
    </row>
    <row r="43" spans="6:11" x14ac:dyDescent="0.25">
      <c r="F43" s="1" t="s">
        <v>143</v>
      </c>
      <c r="G43" s="66">
        <f>1.724*1000000000</f>
        <v>1724000000</v>
      </c>
      <c r="H43" s="66">
        <f>3.591*1000000000</f>
        <v>3591000000</v>
      </c>
      <c r="I43" s="66">
        <f>2.462*1000000000</f>
        <v>2462000000</v>
      </c>
      <c r="J43" s="66">
        <f>4.068*1000000000</f>
        <v>4067999999.9999995</v>
      </c>
      <c r="K43" s="66">
        <f>4.317*1000000000</f>
        <v>4317000000</v>
      </c>
    </row>
    <row r="44" spans="6:11" x14ac:dyDescent="0.25">
      <c r="F44" s="1" t="s">
        <v>176</v>
      </c>
      <c r="G44" s="66">
        <f>19.441*1000000</f>
        <v>19441000</v>
      </c>
      <c r="H44" s="66">
        <f>-18.404*1000000</f>
        <v>-18404000</v>
      </c>
      <c r="I44" s="66">
        <f>-19.003*1000000</f>
        <v>-19003000</v>
      </c>
      <c r="J44" s="66">
        <f>437.5*1000000</f>
        <v>437500000</v>
      </c>
      <c r="K44" s="66">
        <f>151.8*1000000</f>
        <v>151800000</v>
      </c>
    </row>
    <row r="45" spans="6:11" x14ac:dyDescent="0.25">
      <c r="F45" s="1" t="s">
        <v>177</v>
      </c>
      <c r="G45" s="66">
        <f>G43+G47-G48</f>
        <v>5125070000</v>
      </c>
      <c r="H45" s="66">
        <f t="shared" ref="H45:K45" si="13">H43+H47-H48</f>
        <v>5541530000</v>
      </c>
      <c r="I45" s="66">
        <f t="shared" si="13"/>
        <v>4246380000</v>
      </c>
      <c r="J45" s="66">
        <f t="shared" si="13"/>
        <v>7664060000</v>
      </c>
      <c r="K45" s="66">
        <f t="shared" si="13"/>
        <v>9835450000</v>
      </c>
    </row>
    <row r="46" spans="6:11" x14ac:dyDescent="0.25">
      <c r="F46" s="1" t="s">
        <v>40</v>
      </c>
      <c r="G46" s="66">
        <f>1000000*3086.94</f>
        <v>3086940000</v>
      </c>
      <c r="H46" s="66">
        <f>1000000*5079.01</f>
        <v>5079010000</v>
      </c>
      <c r="I46" s="66">
        <f>1000000*4679.87</f>
        <v>4679870000</v>
      </c>
      <c r="J46" s="66">
        <f>1000000*5364.19</f>
        <v>5364190000</v>
      </c>
      <c r="K46" s="66">
        <f>1000000*6040.95</f>
        <v>6040950000</v>
      </c>
    </row>
    <row r="47" spans="6:11" x14ac:dyDescent="0.25">
      <c r="F47" s="1" t="s">
        <v>179</v>
      </c>
      <c r="G47" s="66">
        <f>1000000*4216.71</f>
        <v>4216710000</v>
      </c>
      <c r="H47" s="66">
        <f>1000000*4782.88</f>
        <v>4782880000</v>
      </c>
      <c r="I47" s="66">
        <f>1000000*4943.86</f>
        <v>4943860000</v>
      </c>
      <c r="J47" s="66">
        <f>1000000*6195.86</f>
        <v>6195860000</v>
      </c>
      <c r="K47" s="66">
        <f>1000000*7517.04</f>
        <v>7517040000</v>
      </c>
    </row>
    <row r="48" spans="6:11" x14ac:dyDescent="0.25">
      <c r="F48" s="1" t="s">
        <v>180</v>
      </c>
      <c r="G48" s="66">
        <f>1000000*815.64</f>
        <v>815640000</v>
      </c>
      <c r="H48" s="66">
        <f>1000000*2832.35</f>
        <v>2832350000</v>
      </c>
      <c r="I48" s="66">
        <f>1000000*3159.48</f>
        <v>3159480000</v>
      </c>
      <c r="J48" s="66">
        <f>1000000*2599.8</f>
        <v>2599800000</v>
      </c>
      <c r="K48" s="66">
        <f>1000000*1998.59</f>
        <v>1998590000</v>
      </c>
    </row>
    <row r="49" spans="6:11" x14ac:dyDescent="0.25">
      <c r="F49" s="1" t="s">
        <v>71</v>
      </c>
      <c r="G49" s="66">
        <f>1000000*853.19</f>
        <v>853190000</v>
      </c>
      <c r="H49" s="66">
        <f>1000000*867.67</f>
        <v>867670000</v>
      </c>
      <c r="I49" s="66">
        <f>1000000*956.34</f>
        <v>956340000</v>
      </c>
      <c r="J49" s="66">
        <f>1000000*1256.71</f>
        <v>1256710000</v>
      </c>
      <c r="K49" s="66">
        <f>1000000*1742.09</f>
        <v>1742090000</v>
      </c>
    </row>
    <row r="50" spans="6:11" x14ac:dyDescent="0.25">
      <c r="F50" s="117" t="s">
        <v>92</v>
      </c>
      <c r="G50" s="118">
        <f>G44/G46</f>
        <v>6.297822439049674E-3</v>
      </c>
      <c r="H50" s="118">
        <f t="shared" ref="H50:K50" si="14">H44/H46</f>
        <v>-3.6235408081496199E-3</v>
      </c>
      <c r="I50" s="118">
        <f t="shared" si="14"/>
        <v>-4.0605828794389584E-3</v>
      </c>
      <c r="J50" s="118">
        <f t="shared" si="14"/>
        <v>8.1559378023522658E-2</v>
      </c>
      <c r="K50" s="118">
        <f t="shared" si="14"/>
        <v>2.5128498001142203E-2</v>
      </c>
    </row>
    <row r="51" spans="6:11" x14ac:dyDescent="0.25">
      <c r="F51" s="117" t="s">
        <v>130</v>
      </c>
      <c r="G51" s="118">
        <f>G44/G43</f>
        <v>1.1276682134570766E-2</v>
      </c>
      <c r="H51" s="118">
        <f t="shared" ref="H51:K51" si="15">H44/H43</f>
        <v>-5.1250348092453353E-3</v>
      </c>
      <c r="I51" s="118">
        <f t="shared" si="15"/>
        <v>-7.7185215272136476E-3</v>
      </c>
      <c r="J51" s="118">
        <f t="shared" si="15"/>
        <v>0.10754670599803344</v>
      </c>
      <c r="K51" s="118">
        <f t="shared" si="15"/>
        <v>3.516330785267547E-2</v>
      </c>
    </row>
    <row r="52" spans="6:11" x14ac:dyDescent="0.25">
      <c r="F52" s="117" t="s">
        <v>181</v>
      </c>
      <c r="G52" s="118">
        <f>G45/G49</f>
        <v>6.0069503861976816</v>
      </c>
      <c r="H52" s="118">
        <f t="shared" ref="H52:K52" si="16">H45/H49</f>
        <v>6.3866792674634363</v>
      </c>
      <c r="I52" s="118">
        <f t="shared" si="16"/>
        <v>4.4402409185017877</v>
      </c>
      <c r="J52" s="118">
        <f t="shared" si="16"/>
        <v>6.0985111919217641</v>
      </c>
      <c r="K52" s="118">
        <f t="shared" si="16"/>
        <v>5.6457760506058818</v>
      </c>
    </row>
    <row r="53" spans="6:11" x14ac:dyDescent="0.25">
      <c r="F53" s="117" t="s">
        <v>134</v>
      </c>
      <c r="G53" s="126">
        <v>0</v>
      </c>
      <c r="H53" s="126">
        <v>0</v>
      </c>
      <c r="I53" s="126">
        <v>0</v>
      </c>
      <c r="J53" s="126">
        <v>0</v>
      </c>
      <c r="K53" s="126">
        <f>0.25/K42</f>
        <v>2.0259319286871962E-2</v>
      </c>
    </row>
    <row r="54" spans="6:11" x14ac:dyDescent="0.25">
      <c r="F54" s="124" t="s">
        <v>185</v>
      </c>
      <c r="G54" s="128">
        <f>G4+G17+G30+G43</f>
        <v>15421628413.753201</v>
      </c>
      <c r="H54" s="128">
        <f t="shared" ref="H54:K54" si="17">H4+H17+H30+H43</f>
        <v>19625361103.386799</v>
      </c>
      <c r="I54" s="128">
        <f t="shared" si="17"/>
        <v>16770861034.41</v>
      </c>
      <c r="J54" s="128">
        <f t="shared" si="17"/>
        <v>23119675137.82</v>
      </c>
      <c r="K54" s="128">
        <f t="shared" si="17"/>
        <v>28349052068.807999</v>
      </c>
    </row>
    <row r="55" spans="6:11" x14ac:dyDescent="0.25">
      <c r="F55" s="129"/>
      <c r="G55" s="130"/>
      <c r="H55" s="130"/>
      <c r="I55" s="130"/>
      <c r="J55" s="130"/>
      <c r="K55" s="130"/>
    </row>
    <row r="56" spans="6:11" x14ac:dyDescent="0.25">
      <c r="F56" s="112"/>
      <c r="G56" s="113">
        <v>2020</v>
      </c>
      <c r="H56" s="113">
        <v>2021</v>
      </c>
      <c r="I56" s="113">
        <v>2022</v>
      </c>
      <c r="J56" s="113">
        <v>2023</v>
      </c>
      <c r="K56" s="113">
        <v>2024</v>
      </c>
    </row>
    <row r="57" spans="6:11" x14ac:dyDescent="0.25">
      <c r="F57" s="123" t="s">
        <v>186</v>
      </c>
      <c r="G57" s="123"/>
      <c r="H57" s="123"/>
      <c r="I57" s="123"/>
      <c r="J57" s="123"/>
      <c r="K57" s="123"/>
    </row>
    <row r="58" spans="6:11" x14ac:dyDescent="0.25">
      <c r="F58" s="127" t="s">
        <v>92</v>
      </c>
      <c r="G58" s="62">
        <f>(G5+G18+G31+G44)/(G46+G33+G20+G7)</f>
        <v>-5.2614588259205869E-2</v>
      </c>
      <c r="H58" s="62">
        <f t="shared" ref="H58:K58" si="18">(H5+H18+H31+H44)/(H46+H33+H20+H7)</f>
        <v>7.0806441398890724E-2</v>
      </c>
      <c r="I58" s="62">
        <f t="shared" si="18"/>
        <v>0.12281623223647339</v>
      </c>
      <c r="J58" s="62">
        <f t="shared" si="18"/>
        <v>0.14158378081008199</v>
      </c>
      <c r="K58" s="62">
        <f t="shared" si="18"/>
        <v>0.13945791302161864</v>
      </c>
    </row>
    <row r="59" spans="6:11" x14ac:dyDescent="0.25">
      <c r="F59" s="127" t="s">
        <v>130</v>
      </c>
      <c r="G59" s="62">
        <f>G54/(G44+G31+G18+G5)</f>
        <v>-24.021639644531604</v>
      </c>
      <c r="H59" s="62">
        <f t="shared" ref="H59:K59" si="19">H54/(H44+H31+H18+H5)</f>
        <v>18.283600776781885</v>
      </c>
      <c r="I59" s="62">
        <f t="shared" si="19"/>
        <v>8.419119624381965</v>
      </c>
      <c r="J59" s="62">
        <f t="shared" si="19"/>
        <v>9.1854092720778695</v>
      </c>
      <c r="K59" s="62">
        <f t="shared" si="19"/>
        <v>10.344481689037766</v>
      </c>
    </row>
    <row r="60" spans="6:11" x14ac:dyDescent="0.25">
      <c r="F60" s="127" t="s">
        <v>181</v>
      </c>
      <c r="G60" s="62">
        <f>(G6+G32+G45)/(G10+G36+G49)</f>
        <v>8.9778880030127493</v>
      </c>
      <c r="H60" s="62">
        <f t="shared" ref="H60:K60" si="20">(H6+H32+H45)/(H10+H36+H49)</f>
        <v>8.8863841749833519</v>
      </c>
      <c r="I60" s="62">
        <f t="shared" si="20"/>
        <v>6.7248070975353125</v>
      </c>
      <c r="J60" s="62">
        <f t="shared" si="20"/>
        <v>7.6210047359107511</v>
      </c>
      <c r="K60" s="62">
        <f t="shared" si="20"/>
        <v>7.4731738335585405</v>
      </c>
    </row>
    <row r="61" spans="6:11" x14ac:dyDescent="0.25">
      <c r="F61" s="127" t="s">
        <v>134</v>
      </c>
      <c r="G61" s="131">
        <f>G14*(G4/G54)+G27*(G17/G54)+G40*(G30/G54)+G53*(G43/G54)</f>
        <v>3.0090804686565872E-2</v>
      </c>
      <c r="H61" s="131">
        <f t="shared" ref="H61:K61" si="21">H14*(H4/H54)+H27*(H17/H54)+H40*(H30/H54)+H53*(H43/H54)</f>
        <v>1.6964549354813601E-2</v>
      </c>
      <c r="I61" s="131">
        <f t="shared" si="21"/>
        <v>2.564235294851679E-2</v>
      </c>
      <c r="J61" s="131">
        <f t="shared" si="21"/>
        <v>3.9006815810244358E-2</v>
      </c>
      <c r="K61" s="131">
        <f t="shared" si="21"/>
        <v>3.4905391830757401E-2</v>
      </c>
    </row>
    <row r="62" spans="6:11" x14ac:dyDescent="0.25">
      <c r="F62" s="123" t="s">
        <v>187</v>
      </c>
      <c r="G62" s="123"/>
      <c r="H62" s="123"/>
      <c r="I62" s="123"/>
      <c r="J62" s="123"/>
      <c r="K62" s="123"/>
    </row>
    <row r="63" spans="6:11" x14ac:dyDescent="0.25">
      <c r="F63" s="127" t="s">
        <v>92</v>
      </c>
      <c r="G63" s="62">
        <v>0.209040399392765</v>
      </c>
      <c r="H63" s="62">
        <v>0.15947767842617799</v>
      </c>
      <c r="I63" s="62">
        <v>4.0239742607676397E-2</v>
      </c>
      <c r="J63" s="62">
        <v>0.30820854652680901</v>
      </c>
      <c r="K63" s="62">
        <v>0.27105484302734001</v>
      </c>
    </row>
    <row r="64" spans="6:11" x14ac:dyDescent="0.25">
      <c r="F64" s="127" t="s">
        <v>130</v>
      </c>
      <c r="G64" s="62">
        <v>13.631958497125201</v>
      </c>
      <c r="H64" s="62">
        <v>21.206724268321199</v>
      </c>
      <c r="I64" s="62">
        <v>64.337604303116805</v>
      </c>
      <c r="J64" s="62">
        <v>10.0195213581239</v>
      </c>
      <c r="K64" s="62">
        <v>14.8521178759915</v>
      </c>
    </row>
    <row r="65" spans="6:11" x14ac:dyDescent="0.25">
      <c r="F65" s="127" t="s">
        <v>131</v>
      </c>
      <c r="G65" s="62">
        <v>9.5836144591881052</v>
      </c>
      <c r="H65" s="62">
        <v>13.043698229230101</v>
      </c>
      <c r="I65" s="62">
        <v>22.911149315690199</v>
      </c>
      <c r="J65" s="62">
        <v>6.9023026250878798</v>
      </c>
      <c r="K65" s="62">
        <v>11.6541762634835</v>
      </c>
    </row>
    <row r="66" spans="6:11" x14ac:dyDescent="0.25">
      <c r="F66" s="127" t="s">
        <v>134</v>
      </c>
      <c r="G66" s="131">
        <v>2.5805075481046099E-2</v>
      </c>
      <c r="H66" s="131">
        <v>2.4903637855197201E-2</v>
      </c>
      <c r="I66" s="131">
        <v>3.2350930909469201E-2</v>
      </c>
      <c r="J66" s="131">
        <v>2.0436883847288902E-2</v>
      </c>
      <c r="K66" s="131">
        <v>2.2549839308592601E-2</v>
      </c>
    </row>
    <row r="70" spans="6:11" x14ac:dyDescent="0.25">
      <c r="F70" s="1" t="s">
        <v>132</v>
      </c>
      <c r="G70" s="1">
        <v>5580050</v>
      </c>
      <c r="H70" s="1">
        <v>6976362</v>
      </c>
      <c r="I70" s="1">
        <v>6608388</v>
      </c>
      <c r="J70" s="1">
        <v>6607697</v>
      </c>
      <c r="K70" s="1">
        <v>11570241</v>
      </c>
    </row>
    <row r="71" spans="6:11" x14ac:dyDescent="0.25">
      <c r="F71" s="1" t="s">
        <v>133</v>
      </c>
      <c r="G71" s="1">
        <v>0.16876519364604101</v>
      </c>
      <c r="H71" s="1">
        <v>0.21168092176917599</v>
      </c>
      <c r="I71" s="1">
        <v>0.20057577163870899</v>
      </c>
      <c r="J71" s="1">
        <v>0.200281461703431</v>
      </c>
      <c r="K71" s="1">
        <v>0.35065000124861501</v>
      </c>
    </row>
  </sheetData>
  <sortState xmlns:xlrd2="http://schemas.microsoft.com/office/spreadsheetml/2017/richdata2" ref="A2:C31">
    <sortCondition descending="1" ref="B2:B31"/>
  </sortState>
  <mergeCells count="6">
    <mergeCell ref="F62:K62"/>
    <mergeCell ref="F2:K2"/>
    <mergeCell ref="F15:K15"/>
    <mergeCell ref="F28:K28"/>
    <mergeCell ref="F41:K41"/>
    <mergeCell ref="F57:K5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topLeftCell="A16" zoomScaleNormal="100" workbookViewId="0">
      <selection activeCell="E32" sqref="E32"/>
    </sheetView>
  </sheetViews>
  <sheetFormatPr defaultColWidth="8.77734375" defaultRowHeight="14.4" x14ac:dyDescent="0.25"/>
  <cols>
    <col min="1" max="1" width="16.33203125" bestFit="1" customWidth="1"/>
    <col min="2" max="2" width="25.77734375" bestFit="1" customWidth="1"/>
    <col min="3" max="6" width="24.33203125" bestFit="1" customWidth="1"/>
  </cols>
  <sheetData>
    <row r="1" spans="1:8" x14ac:dyDescent="0.25">
      <c r="A1" s="127"/>
      <c r="B1" s="127">
        <v>2020</v>
      </c>
      <c r="C1" s="127">
        <v>2021</v>
      </c>
      <c r="D1" s="127">
        <v>2022</v>
      </c>
      <c r="E1" s="127">
        <v>2023</v>
      </c>
      <c r="F1" s="127">
        <v>2024</v>
      </c>
      <c r="G1" s="1"/>
      <c r="H1" s="1"/>
    </row>
    <row r="2" spans="1:8" x14ac:dyDescent="0.25">
      <c r="A2" s="122" t="s">
        <v>175</v>
      </c>
      <c r="B2" s="122"/>
      <c r="C2" s="122"/>
      <c r="D2" s="122"/>
      <c r="E2" s="122"/>
      <c r="F2" s="122"/>
      <c r="G2" s="1"/>
      <c r="H2" s="1"/>
    </row>
    <row r="3" spans="1:8" x14ac:dyDescent="0.25">
      <c r="A3" s="124" t="s">
        <v>178</v>
      </c>
      <c r="B3" s="66">
        <v>26.42</v>
      </c>
      <c r="C3" s="66">
        <v>30.26</v>
      </c>
      <c r="D3" s="108">
        <v>22.6</v>
      </c>
      <c r="E3" s="109">
        <v>26.57</v>
      </c>
      <c r="F3" s="110">
        <v>33.299999999999997</v>
      </c>
      <c r="G3" s="1" t="s">
        <v>189</v>
      </c>
      <c r="H3" s="71">
        <f>(F3-C3)/C3</f>
        <v>0.10046265697290137</v>
      </c>
    </row>
    <row r="4" spans="1:8" x14ac:dyDescent="0.25">
      <c r="A4" s="124" t="s">
        <v>143</v>
      </c>
      <c r="B4" s="66">
        <f>B3*364300000</f>
        <v>9624806000</v>
      </c>
      <c r="C4" s="66">
        <f t="shared" ref="C4:F4" si="0">C3*364300000</f>
        <v>11023718000</v>
      </c>
      <c r="D4" s="66">
        <f t="shared" si="0"/>
        <v>8233180000.000001</v>
      </c>
      <c r="E4" s="66">
        <f t="shared" si="0"/>
        <v>9679451000</v>
      </c>
      <c r="F4" s="66">
        <f t="shared" si="0"/>
        <v>12131189999.999998</v>
      </c>
      <c r="G4" s="1"/>
      <c r="H4" s="1"/>
    </row>
    <row r="5" spans="1:8" x14ac:dyDescent="0.25">
      <c r="A5" s="124" t="s">
        <v>176</v>
      </c>
      <c r="B5" s="66">
        <f>1000000*414.9</f>
        <v>414900000</v>
      </c>
      <c r="C5" s="66">
        <f>1000000*547.2</f>
        <v>547200000</v>
      </c>
      <c r="D5" s="66">
        <f>1000000*415.4</f>
        <v>415400000</v>
      </c>
      <c r="E5" s="66">
        <f>1000000*636.5</f>
        <v>636500000</v>
      </c>
      <c r="F5" s="66">
        <f>1000000*820.6</f>
        <v>820600000</v>
      </c>
      <c r="G5" s="1"/>
      <c r="H5" s="1"/>
    </row>
    <row r="6" spans="1:8" x14ac:dyDescent="0.25">
      <c r="A6" s="124" t="s">
        <v>177</v>
      </c>
      <c r="B6" s="66">
        <f>B4+B8-B9</f>
        <v>11134506000</v>
      </c>
      <c r="C6" s="66">
        <f t="shared" ref="C6:F6" si="1">C4+C8-C9</f>
        <v>12943318000</v>
      </c>
      <c r="D6" s="66">
        <f t="shared" si="1"/>
        <v>10765680000</v>
      </c>
      <c r="E6" s="66">
        <f t="shared" si="1"/>
        <v>11629651000</v>
      </c>
      <c r="F6" s="66">
        <f t="shared" si="1"/>
        <v>14345989999.999998</v>
      </c>
      <c r="G6" s="1"/>
      <c r="H6" s="1"/>
    </row>
    <row r="7" spans="1:8" x14ac:dyDescent="0.25">
      <c r="A7" s="124" t="s">
        <v>40</v>
      </c>
      <c r="B7" s="66">
        <v>2633300000</v>
      </c>
      <c r="C7" s="66">
        <v>3117100000</v>
      </c>
      <c r="D7" s="66">
        <v>3385600000</v>
      </c>
      <c r="E7" s="66">
        <v>3186700000</v>
      </c>
      <c r="F7" s="66">
        <v>3303000000</v>
      </c>
      <c r="G7" s="1"/>
      <c r="H7" s="1"/>
    </row>
    <row r="8" spans="1:8" x14ac:dyDescent="0.25">
      <c r="A8" s="124" t="s">
        <v>179</v>
      </c>
      <c r="B8" s="66">
        <v>2725500000</v>
      </c>
      <c r="C8" s="66">
        <f>2702.4*1000000</f>
        <v>2702400000</v>
      </c>
      <c r="D8" s="66">
        <f>1000000*3252.4</f>
        <v>3252400000</v>
      </c>
      <c r="E8" s="66">
        <f>1000000*3210.8</f>
        <v>3210800000</v>
      </c>
      <c r="F8" s="66">
        <f>1000000*3762.9</f>
        <v>3762900000</v>
      </c>
      <c r="G8" s="1"/>
      <c r="H8" s="1"/>
    </row>
    <row r="9" spans="1:8" x14ac:dyDescent="0.25">
      <c r="A9" s="124" t="s">
        <v>180</v>
      </c>
      <c r="B9" s="116">
        <f>1000000*1215.8</f>
        <v>1215800000</v>
      </c>
      <c r="C9" s="116">
        <f>1000000*782.8</f>
        <v>782800000</v>
      </c>
      <c r="D9" s="116">
        <f>1000000*719.9</f>
        <v>719900000</v>
      </c>
      <c r="E9" s="116">
        <f>1000000*1260.6</f>
        <v>1260600000</v>
      </c>
      <c r="F9" s="116">
        <f>1000000*1548.1</f>
        <v>1548100000</v>
      </c>
      <c r="G9" s="1"/>
      <c r="H9" s="1"/>
    </row>
    <row r="10" spans="1:8" x14ac:dyDescent="0.25">
      <c r="A10" s="124" t="s">
        <v>71</v>
      </c>
      <c r="B10" s="66">
        <f>1000000*967.3</f>
        <v>967300000</v>
      </c>
      <c r="C10" s="66">
        <f>1000000*1078.4</f>
        <v>1078400000</v>
      </c>
      <c r="D10" s="66">
        <f>1000000*1224.9</f>
        <v>1224900000</v>
      </c>
      <c r="E10" s="66">
        <f>1000000*1286.6</f>
        <v>1286600000</v>
      </c>
      <c r="F10" s="66">
        <f>1000000*1490.8</f>
        <v>1490800000</v>
      </c>
      <c r="G10" s="1"/>
      <c r="H10" s="1"/>
    </row>
    <row r="11" spans="1:8" x14ac:dyDescent="0.25">
      <c r="A11" s="127" t="s">
        <v>92</v>
      </c>
      <c r="B11" s="118">
        <f>B5/B7</f>
        <v>0.1575589564424866</v>
      </c>
      <c r="C11" s="118">
        <f t="shared" ref="C11:F11" si="2">C5/C7</f>
        <v>0.17554778479997432</v>
      </c>
      <c r="D11" s="118">
        <f t="shared" si="2"/>
        <v>0.1226961247637051</v>
      </c>
      <c r="E11" s="118">
        <f t="shared" si="2"/>
        <v>0.199736404430916</v>
      </c>
      <c r="F11" s="118">
        <f t="shared" si="2"/>
        <v>0.24844081138359067</v>
      </c>
      <c r="G11" s="1"/>
      <c r="H11" s="1"/>
    </row>
    <row r="12" spans="1:8" x14ac:dyDescent="0.25">
      <c r="A12" s="127" t="s">
        <v>130</v>
      </c>
      <c r="B12" s="118">
        <f>B4/B5</f>
        <v>23.197893468305615</v>
      </c>
      <c r="C12" s="118">
        <f t="shared" ref="C12:F12" si="3">C4/C5</f>
        <v>20.145683479532163</v>
      </c>
      <c r="D12" s="118">
        <f t="shared" si="3"/>
        <v>19.819884448724125</v>
      </c>
      <c r="E12" s="118">
        <f t="shared" si="3"/>
        <v>15.207307148468185</v>
      </c>
      <c r="F12" s="118">
        <f t="shared" si="3"/>
        <v>14.783317085059711</v>
      </c>
      <c r="G12" s="1"/>
      <c r="H12" s="1"/>
    </row>
    <row r="13" spans="1:8" x14ac:dyDescent="0.25">
      <c r="A13" s="127" t="s">
        <v>181</v>
      </c>
      <c r="B13" s="118">
        <f>B6/B10</f>
        <v>11.510912850201592</v>
      </c>
      <c r="C13" s="118">
        <f t="shared" ref="C13:F13" si="4">C6/C10</f>
        <v>12.002334940652819</v>
      </c>
      <c r="D13" s="118">
        <f t="shared" si="4"/>
        <v>8.7890276757286312</v>
      </c>
      <c r="E13" s="118">
        <f t="shared" si="4"/>
        <v>9.0390572050365297</v>
      </c>
      <c r="F13" s="118">
        <f t="shared" si="4"/>
        <v>9.6230144888650369</v>
      </c>
      <c r="G13" s="1"/>
      <c r="H13" s="1"/>
    </row>
    <row r="14" spans="1:8" x14ac:dyDescent="0.25">
      <c r="A14" s="127" t="s">
        <v>134</v>
      </c>
      <c r="B14" s="119">
        <v>2.7799999999999998E-2</v>
      </c>
      <c r="C14" s="119">
        <v>2.07E-2</v>
      </c>
      <c r="D14" s="119">
        <v>3.2899999999999999E-2</v>
      </c>
      <c r="E14" s="119">
        <v>5.1700000000000003E-2</v>
      </c>
      <c r="F14" s="119">
        <v>2.9100000000000001E-2</v>
      </c>
      <c r="G14" s="1"/>
      <c r="H14" s="1"/>
    </row>
    <row r="15" spans="1:8" x14ac:dyDescent="0.25">
      <c r="A15" s="123" t="s">
        <v>188</v>
      </c>
      <c r="B15" s="123"/>
      <c r="C15" s="123"/>
      <c r="D15" s="123"/>
      <c r="E15" s="123"/>
      <c r="F15" s="123"/>
      <c r="G15" s="1"/>
      <c r="H15" s="1"/>
    </row>
    <row r="16" spans="1:8" x14ac:dyDescent="0.25">
      <c r="A16" s="124" t="s">
        <v>178</v>
      </c>
      <c r="B16" s="132">
        <v>104.26</v>
      </c>
      <c r="C16" s="132">
        <v>127.44</v>
      </c>
      <c r="D16" s="132">
        <v>107.14</v>
      </c>
      <c r="E16" s="132">
        <v>97.51</v>
      </c>
      <c r="F16" s="132">
        <v>74.88</v>
      </c>
      <c r="G16" s="66"/>
      <c r="H16" s="71">
        <f>(F16-B16)/B16</f>
        <v>-0.28179551122194524</v>
      </c>
    </row>
    <row r="17" spans="1:8" x14ac:dyDescent="0.25">
      <c r="A17" s="124" t="s">
        <v>143</v>
      </c>
      <c r="B17" s="132">
        <f>290.4*1000000000</f>
        <v>290400000000</v>
      </c>
      <c r="C17" s="132">
        <f>350.5*1000000000</f>
        <v>350500000000</v>
      </c>
      <c r="D17" s="132">
        <f>295.7*1000000000</f>
        <v>295700000000</v>
      </c>
      <c r="E17" s="132">
        <f>252.4*1000000000</f>
        <v>252400000000</v>
      </c>
      <c r="F17" s="132">
        <f>192.5*1000000000</f>
        <v>192500000000</v>
      </c>
      <c r="G17" s="1"/>
      <c r="H17" s="1"/>
    </row>
    <row r="18" spans="1:8" x14ac:dyDescent="0.25">
      <c r="A18" s="124" t="s">
        <v>176</v>
      </c>
      <c r="B18" s="132">
        <f>12.232*1000000000</f>
        <v>12232000000</v>
      </c>
      <c r="C18" s="132">
        <f>16.905*1000000000</f>
        <v>16905000000.000002</v>
      </c>
      <c r="D18" s="132">
        <f>9.27*1000000000</f>
        <v>9270000000</v>
      </c>
      <c r="E18" s="132">
        <f>11.209*1000000000</f>
        <v>11209000000</v>
      </c>
      <c r="F18" s="132">
        <f>10.884*1000000000</f>
        <v>10884000000</v>
      </c>
      <c r="G18" s="1"/>
      <c r="H18" s="1"/>
    </row>
    <row r="19" spans="1:8" x14ac:dyDescent="0.25">
      <c r="A19" s="124" t="s">
        <v>177</v>
      </c>
      <c r="B19" s="132">
        <f>B17+B21-B22</f>
        <v>320210000000</v>
      </c>
      <c r="C19" s="132">
        <f t="shared" ref="C19:F19" si="5">C17+C21-C22</f>
        <v>386102000000</v>
      </c>
      <c r="D19" s="132">
        <f t="shared" si="5"/>
        <v>340679000000</v>
      </c>
      <c r="E19" s="132">
        <f t="shared" si="5"/>
        <v>300612000000</v>
      </c>
      <c r="F19" s="132">
        <f t="shared" si="5"/>
        <v>245904000000</v>
      </c>
      <c r="G19" s="1"/>
      <c r="H19" s="1"/>
    </row>
    <row r="20" spans="1:8" x14ac:dyDescent="0.25">
      <c r="A20" s="124" t="s">
        <v>40</v>
      </c>
      <c r="B20" s="132">
        <f>1000000*46514</f>
        <v>46514000000</v>
      </c>
      <c r="C20" s="132">
        <f>1000000*53727</f>
        <v>53727000000</v>
      </c>
      <c r="D20" s="132">
        <f>1000000*42792</f>
        <v>42792000000</v>
      </c>
      <c r="E20" s="132">
        <f>1000000*36387</f>
        <v>36387000000</v>
      </c>
      <c r="F20" s="132">
        <f>1000000*36693</f>
        <v>36693000000</v>
      </c>
      <c r="G20" s="1"/>
      <c r="H20" s="1"/>
    </row>
    <row r="21" spans="1:8" x14ac:dyDescent="0.25">
      <c r="A21" s="124" t="s">
        <v>179</v>
      </c>
      <c r="B21" s="132">
        <f>1000000*35045</f>
        <v>35045000000</v>
      </c>
      <c r="C21" s="132">
        <f>1000000*42590</f>
        <v>42590000000</v>
      </c>
      <c r="D21" s="132">
        <f>1000000*50490</f>
        <v>50490000000</v>
      </c>
      <c r="E21" s="132">
        <f>1000000*53028</f>
        <v>53028000000</v>
      </c>
      <c r="F21" s="132">
        <f>1000000*58960</f>
        <v>58960000000</v>
      </c>
      <c r="G21" s="1"/>
      <c r="H21" s="1"/>
    </row>
    <row r="22" spans="1:8" x14ac:dyDescent="0.25">
      <c r="A22" s="124" t="s">
        <v>180</v>
      </c>
      <c r="B22" s="132">
        <f>1000000*5235</f>
        <v>5235000000</v>
      </c>
      <c r="C22" s="132">
        <f>1000000*6988</f>
        <v>6988000000</v>
      </c>
      <c r="D22" s="132">
        <f>1000000*5511</f>
        <v>5511000000</v>
      </c>
      <c r="E22" s="132">
        <f>1000000*4816</f>
        <v>4816000000</v>
      </c>
      <c r="F22" s="132">
        <f>1000000*5556</f>
        <v>5556000000</v>
      </c>
      <c r="G22" s="1"/>
      <c r="H22" s="1"/>
    </row>
    <row r="23" spans="1:8" x14ac:dyDescent="0.25">
      <c r="A23" s="124" t="s">
        <v>71</v>
      </c>
      <c r="B23" s="132">
        <f>16.826*1000000000</f>
        <v>16826000000</v>
      </c>
      <c r="C23" s="132">
        <f>17.145*1000000000</f>
        <v>17145000000</v>
      </c>
      <c r="D23" s="132">
        <f>18.238*1000000000</f>
        <v>18238000000</v>
      </c>
      <c r="E23" s="132">
        <f>18.156*1000000000</f>
        <v>18156000000</v>
      </c>
      <c r="F23" s="132">
        <f>18.177*1000000000</f>
        <v>18177000000</v>
      </c>
      <c r="G23" s="1"/>
      <c r="H23" s="1"/>
    </row>
    <row r="24" spans="1:8" x14ac:dyDescent="0.25">
      <c r="A24" s="127" t="s">
        <v>92</v>
      </c>
      <c r="B24" s="118">
        <f>B18/B20</f>
        <v>0.2629745882959969</v>
      </c>
      <c r="C24" s="118">
        <f t="shared" ref="C24:F24" si="6">C18/C20</f>
        <v>0.31464626723993527</v>
      </c>
      <c r="D24" s="118">
        <f t="shared" si="6"/>
        <v>0.21662927650028044</v>
      </c>
      <c r="E24" s="118">
        <f t="shared" si="6"/>
        <v>0.30804957814604117</v>
      </c>
      <c r="F24" s="118">
        <f t="shared" si="6"/>
        <v>0.29662333415092795</v>
      </c>
      <c r="G24" s="1"/>
      <c r="H24" s="1"/>
    </row>
    <row r="25" spans="1:8" x14ac:dyDescent="0.25">
      <c r="A25" s="127" t="s">
        <v>130</v>
      </c>
      <c r="B25" s="118">
        <f>B17/B18</f>
        <v>23.741007194244606</v>
      </c>
      <c r="C25" s="118">
        <f t="shared" ref="C25:F25" si="7">C17/C18</f>
        <v>20.733510795622596</v>
      </c>
      <c r="D25" s="118">
        <f t="shared" si="7"/>
        <v>31.898597626752967</v>
      </c>
      <c r="E25" s="118">
        <f t="shared" si="7"/>
        <v>22.517619769827817</v>
      </c>
      <c r="F25" s="118">
        <f t="shared" si="7"/>
        <v>17.68651231165013</v>
      </c>
      <c r="G25" s="1"/>
      <c r="H25" s="1"/>
    </row>
    <row r="26" spans="1:8" x14ac:dyDescent="0.25">
      <c r="A26" s="127" t="s">
        <v>181</v>
      </c>
      <c r="B26" s="118">
        <f>B19/B23</f>
        <v>19.030666825151553</v>
      </c>
      <c r="C26" s="118">
        <f t="shared" ref="C26:F26" si="8">C19/C23</f>
        <v>22.519801691455235</v>
      </c>
      <c r="D26" s="118">
        <f t="shared" si="8"/>
        <v>18.679624958877071</v>
      </c>
      <c r="E26" s="118">
        <f t="shared" si="8"/>
        <v>16.557171183079973</v>
      </c>
      <c r="F26" s="118">
        <f t="shared" si="8"/>
        <v>13.528305000825219</v>
      </c>
      <c r="G26" s="1"/>
      <c r="H26" s="1"/>
    </row>
    <row r="27" spans="1:8" x14ac:dyDescent="0.25">
      <c r="A27" s="127" t="s">
        <v>134</v>
      </c>
      <c r="B27" s="125">
        <f>2.7/B16</f>
        <v>2.5896796470362554E-2</v>
      </c>
      <c r="C27" s="125">
        <f>2.75/C16</f>
        <v>2.1578782172002511E-2</v>
      </c>
      <c r="D27" s="125">
        <f>2.8/D16</f>
        <v>2.6134030240806419E-2</v>
      </c>
      <c r="E27" s="125">
        <f>2.95/E16</f>
        <v>3.025330735309199E-2</v>
      </c>
      <c r="F27" s="125">
        <f>3/F16</f>
        <v>4.0064102564102567E-2</v>
      </c>
      <c r="G27" s="1"/>
      <c r="H27" s="1"/>
    </row>
    <row r="28" spans="1:8" x14ac:dyDescent="0.25">
      <c r="A28" s="123" t="s">
        <v>187</v>
      </c>
      <c r="B28" s="123"/>
      <c r="C28" s="123"/>
      <c r="D28" s="123"/>
      <c r="E28" s="123"/>
      <c r="F28" s="123"/>
    </row>
    <row r="29" spans="1:8" x14ac:dyDescent="0.25">
      <c r="A29" s="127" t="s">
        <v>92</v>
      </c>
      <c r="B29" s="118">
        <v>0.209040399392765</v>
      </c>
      <c r="C29" s="118">
        <v>0.15947767842617799</v>
      </c>
      <c r="D29" s="118">
        <v>4.0239742607676397E-2</v>
      </c>
      <c r="E29" s="118">
        <v>0.30820854652680901</v>
      </c>
      <c r="F29" s="118">
        <v>0.27105484302734001</v>
      </c>
    </row>
    <row r="30" spans="1:8" x14ac:dyDescent="0.25">
      <c r="A30" s="127" t="s">
        <v>130</v>
      </c>
      <c r="B30" s="118">
        <v>13.631958497125201</v>
      </c>
      <c r="C30" s="118">
        <v>21.206724268321199</v>
      </c>
      <c r="D30" s="118">
        <v>64.337604303116805</v>
      </c>
      <c r="E30" s="118">
        <v>10.0195213581239</v>
      </c>
      <c r="F30" s="118">
        <v>14.8521178759915</v>
      </c>
    </row>
    <row r="31" spans="1:8" x14ac:dyDescent="0.25">
      <c r="A31" s="127" t="s">
        <v>131</v>
      </c>
      <c r="B31" s="118">
        <v>9.5836144591881052</v>
      </c>
      <c r="C31" s="118">
        <v>13.043698229230101</v>
      </c>
      <c r="D31" s="118">
        <v>22.911149315690199</v>
      </c>
      <c r="E31" s="118">
        <v>6.9023026250878798</v>
      </c>
      <c r="F31" s="118">
        <v>11.6541762634835</v>
      </c>
    </row>
    <row r="32" spans="1:8" x14ac:dyDescent="0.25">
      <c r="A32" s="127" t="s">
        <v>134</v>
      </c>
      <c r="B32" s="125">
        <v>2.5805075481046099E-2</v>
      </c>
      <c r="C32" s="125">
        <v>2.4903637855197201E-2</v>
      </c>
      <c r="D32" s="125">
        <v>3.2350930909469201E-2</v>
      </c>
      <c r="E32" s="125">
        <v>2.0436883847288902E-2</v>
      </c>
      <c r="F32" s="125">
        <v>2.2549839308592601E-2</v>
      </c>
    </row>
  </sheetData>
  <mergeCells count="3">
    <mergeCell ref="A2:F2"/>
    <mergeCell ref="A15:F15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Kri-Kri Milk Stock Price Histor</vt:lpstr>
      <vt:lpstr>Beta 5-Year</vt:lpstr>
      <vt:lpstr>Beta 2020</vt:lpstr>
      <vt:lpstr>Beta 2021</vt:lpstr>
      <vt:lpstr>Beta 2022</vt:lpstr>
      <vt:lpstr>Beta 2023</vt:lpstr>
      <vt:lpstr>Beta 2024</vt:lpstr>
      <vt:lpstr>Beta 2025</vt:lpstr>
      <vt:lpstr>WACC</vt:lpstr>
      <vt:lpstr>Ισολογισμοί + KAX</vt:lpstr>
      <vt:lpstr>ATG companies</vt:lpstr>
      <vt:lpstr>Peer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Koutsompinas</cp:lastModifiedBy>
  <dcterms:created xsi:type="dcterms:W3CDTF">2025-12-19T14:09:00Z</dcterms:created>
  <dcterms:modified xsi:type="dcterms:W3CDTF">2025-12-29T18:46:25Z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2AD3471B844C4AFCA170C51F80515A51_12</vt:lpwstr>
  </property>
  <property fmtid="{D5CDD505-2E9C-101B-9397-08002B2CF9AE}" pid="3" name="KSOProductBuildVer">
    <vt:lpwstr>1033-12.2.0.23196</vt:lpwstr>
  </property>
</Properties>
</file>
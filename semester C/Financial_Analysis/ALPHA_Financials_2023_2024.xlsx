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Balance_Sheet" sheetId="1" r:id="rId1"/>
    <sheet name="Ratios_Formul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<sst xmlns="http://schemas.openxmlformats.org/spreadsheetml/2006/main" count="125" uniqueCount="118">
  <si>
    <t>Κατάσταση Αποτελεσμάτων Χρήσης</t>
  </si>
  <si>
    <t>2022</t>
  </si>
  <si>
    <t>2023</t>
  </si>
  <si>
    <t>2024</t>
  </si>
  <si>
    <t>Ισολογισμός</t>
  </si>
  <si>
    <t>Ταμειακές ροές</t>
  </si>
  <si>
    <t>Υπολογισμός</t>
  </si>
  <si>
    <t>Πωλήσεις</t>
  </si>
  <si>
    <t>Αναπόσβεστα Πάγια</t>
  </si>
  <si>
    <t>Καθαρά Κέρδη</t>
  </si>
  <si>
    <t>από P&amp;L</t>
  </si>
  <si>
    <t>Κόστος Πωληθέντων</t>
  </si>
  <si>
    <t>Αποσβέσεις</t>
  </si>
  <si>
    <t>+ Αποσβέσεις</t>
  </si>
  <si>
    <t>μη ταμειακό έξοδο</t>
  </si>
  <si>
    <t>Μικτό Κέρδος</t>
  </si>
  <si>
    <t>Καθαρά Πάγια</t>
  </si>
  <si>
    <t>± Μεταβολή Αποθεμάτων</t>
  </si>
  <si>
    <t>5.000 − 4.500 = +500 (outflow)</t>
  </si>
  <si>
    <t>Λειτουργικά Έξοδα</t>
  </si>
  <si>
    <t>Αποθέματα</t>
  </si>
  <si>
    <t>± Μεταβολή Απαιτήσεων</t>
  </si>
  <si>
    <t>4.000 − 3.700 = +300 (outflow)</t>
  </si>
  <si>
    <t>EBIT</t>
  </si>
  <si>
    <t>Απαιτήσεις</t>
  </si>
  <si>
    <t>± Μεταβολή Βραχυπρ. Υποχρεώσεων</t>
  </si>
  <si>
    <t>6.000 − 5.700 = +300 (inflow)</t>
  </si>
  <si>
    <t>Χρηματοοικ. Έξοδα</t>
  </si>
  <si>
    <t>Ταμειακά Διαθέσιμα</t>
  </si>
  <si>
    <t>Λειτουργικές Ροές (OCF)</t>
  </si>
  <si>
    <t>2.652 + 800 − 500 − 300 + 300</t>
  </si>
  <si>
    <t>Κέρδη προ Φόρων</t>
  </si>
  <si>
    <t>Σύνολο Ενεργητικού</t>
  </si>
  <si>
    <t>Επενδυτικές Ροές (CapEx)</t>
  </si>
  <si>
    <t>18.000 − 17.000 = +1.000 (outflow)</t>
  </si>
  <si>
    <t>Φόροι (22%)</t>
  </si>
  <si>
    <t>Ίδια Κεφάλαια</t>
  </si>
  <si>
    <t>Χρηματοδοτικές Ροές</t>
  </si>
  <si>
    <t>Δάνεια: 8.000 − 7.000 = +1.000 (inflow)</t>
  </si>
  <si>
    <t>Μακροπρόθεσμος Δανεισμός</t>
  </si>
  <si>
    <t>− Μερίσματα (35% × τα καθαρά κέρδη)</t>
  </si>
  <si>
    <t>Βραχυπρόθεσμες Υποχρεώσεις</t>
  </si>
  <si>
    <t>Καθαρές Χρηματοδοτικές Ροές (FCF)</t>
  </si>
  <si>
    <t>1000-928=</t>
  </si>
  <si>
    <t>EBITDA</t>
  </si>
  <si>
    <t>Σύνολο Παθητικού</t>
  </si>
  <si>
    <t>Καθαρή Μεταβολή Ταμείου</t>
  </si>
  <si>
    <t>2.952 − 928 +72</t>
  </si>
  <si>
    <t>Μερίσματα (35%)</t>
  </si>
  <si>
    <t>Ταμείο Έναρξης</t>
  </si>
  <si>
    <t>Αποτελεσμα εις νέον</t>
  </si>
  <si>
    <t>Ταμείο Λήξης</t>
  </si>
  <si>
    <t>1.500 + 2024</t>
  </si>
  <si>
    <t>Column1</t>
  </si>
  <si>
    <t>Column2</t>
  </si>
  <si>
    <t>Column3</t>
  </si>
  <si>
    <t>Column4</t>
  </si>
  <si>
    <t>Ratio / Parameter</t>
  </si>
  <si>
    <t>--- Valuation Parameters ---</t>
  </si>
  <si>
    <t>Share Price (€)</t>
  </si>
  <si>
    <t>τιμή ανά μετοχή</t>
  </si>
  <si>
    <t>Shares Outstanding (Ε000)</t>
  </si>
  <si>
    <t>Market Cap (€000)</t>
  </si>
  <si>
    <t>Net Debt (€000)</t>
  </si>
  <si>
    <t>DPS (€)</t>
  </si>
  <si>
    <t>μερισματα ανά μετοχή (dividents per share)</t>
  </si>
  <si>
    <t>Average</t>
  </si>
  <si>
    <t>Avg Inventory</t>
  </si>
  <si>
    <t>μεσα αποθέματα</t>
  </si>
  <si>
    <t>Avg Receivables</t>
  </si>
  <si>
    <t>μέσες απαιτήσεις</t>
  </si>
  <si>
    <t>Avg Equity</t>
  </si>
  <si>
    <t>μέσο ενεργητικό</t>
  </si>
  <si>
    <t>Avg Total Assets</t>
  </si>
  <si>
    <t>μέσα χρηματικά διαθέσιμα</t>
  </si>
  <si>
    <t>Total Liabilities (€000)</t>
  </si>
  <si>
    <t>συνολικό παθητικό</t>
  </si>
  <si>
    <t>Current Liabilities (€000))</t>
  </si>
  <si>
    <t>βραχυπρόθεσμες</t>
  </si>
  <si>
    <t>Current Assets (€000)</t>
  </si>
  <si>
    <t>κυκλοφορούν</t>
  </si>
  <si>
    <t>Working Capital</t>
  </si>
  <si>
    <t>κυκλοφορούν - βραχυπρόθεσμες</t>
  </si>
  <si>
    <t>Current Ratio (x)</t>
  </si>
  <si>
    <t>κυκλοφορούν/βραχυπρόθεσμες</t>
  </si>
  <si>
    <t>Quick Ratio (x)</t>
  </si>
  <si>
    <t>(κυκλοφορούν-αποθέματα)/βραχυπρόθεσμες</t>
  </si>
  <si>
    <t>Debt / Equity (x)</t>
  </si>
  <si>
    <t>συνολικό παθητικό/ιδια κεφάλαια</t>
  </si>
  <si>
    <t>Net Debt/EBITDA (x)</t>
  </si>
  <si>
    <t>ROE Margin</t>
  </si>
  <si>
    <t>return on equity (πωλήσεις/ίδια κεφάλαια)</t>
  </si>
  <si>
    <t>ROA Margin</t>
  </si>
  <si>
    <t>return on assets (πωλήσεις/σύνολο ενεργητικού)</t>
  </si>
  <si>
    <t>EBITDA Margin</t>
  </si>
  <si>
    <t>ebidta/πωλήσεις</t>
  </si>
  <si>
    <t>Net Profit Margin</t>
  </si>
  <si>
    <t>καθαρό κέρδος/πωλήσεις</t>
  </si>
  <si>
    <t>Inventory Turnover Days</t>
  </si>
  <si>
    <t>365/(κοστος πωληθέντων/μέσα αποθέματα)</t>
  </si>
  <si>
    <t>Receivables Days</t>
  </si>
  <si>
    <t>365/(κόστος πωληθέντων/μέσες απαιτήσεις)</t>
  </si>
  <si>
    <t>Total Asset Turnover (x)</t>
  </si>
  <si>
    <t>κόστος πωληθέντων/total assets</t>
  </si>
  <si>
    <t>Interest Coverage (x)</t>
  </si>
  <si>
    <t>ebit/χρηματοϊκονομικά έξοδα</t>
  </si>
  <si>
    <t>EPS (€)</t>
  </si>
  <si>
    <t>earnings per share (κέρδη/αριθμό μετοχών)</t>
  </si>
  <si>
    <t>BVPS (€)</t>
  </si>
  <si>
    <t>book value per share (ίδια κεφ./αριθμό μετοχών)</t>
  </si>
  <si>
    <t>P/E (x)</t>
  </si>
  <si>
    <t>χρηματιστηριακή αξία/κέρδη</t>
  </si>
  <si>
    <t>P/BV (x)</t>
  </si>
  <si>
    <t>χρηματιστηριακή αξία/ίδια κεφάλαια</t>
  </si>
  <si>
    <t>EV/EBITDA (x)</t>
  </si>
  <si>
    <t>(enterprise value = χρημ.αξία + net debt)/ ebidta</t>
  </si>
  <si>
    <t xml:space="preserve">Dividend Yield </t>
  </si>
  <si>
    <t>κακο για ελληνικό χρηματιστήριο (Οπαπ περιπου 8%)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</si>
</sst>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2" fontId="0" fillId="3" borderId="0" xfId="0" applyNumberFormat="1" applyFill="1"/>
    <xf numFmtId="10" fontId="0" fillId="3" borderId="0" xfId="3" applyNumberFormat="1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3" fontId="4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center" vertical="center"/>
    </xf>
    <xf numFmtId="3" fontId="3" fillId="0" borderId="0" xfId="0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right" vertical="center" wrapText="1"/>
    </xf>
    <xf numFmtId="3" fontId="3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strike val="0"/>
        <u val="none"/>
        <sz val="12"/>
        <color theme="1"/>
      </font>
    </dxf>
    <dxf>
      <font>
        <name val="Calibri"/>
        <scheme val="none"/>
        <family val="2"/>
        <b val="1"/>
        <i val="0"/>
        <strike val="0"/>
        <u val="none"/>
        <sz val="12"/>
        <color theme="1"/>
      </font>
      <fill>
        <patternFill patternType="solid">
          <bgColor theme="6"/>
        </patternFill>
      </fill>
      <alignment vertical="center" wrapText="1"/>
    </dxf>
    <dxf>
      <font>
        <name val="Calibri"/>
        <scheme val="none"/>
        <family val="2"/>
        <strike val="0"/>
        <u val="none"/>
        <sz val="12"/>
        <color theme="1"/>
      </font>
      <fill>
        <patternFill patternType="solid">
          <bgColor theme="6"/>
        </patternFill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2"/>
        <color theme="1"/>
      </font>
      <numFmt numFmtId="3" formatCode="#,##0"/>
      <fill>
        <patternFill patternType="solid">
          <bgColor theme="6"/>
        </patternFill>
      </fill>
      <alignment horizontal="right" vertical="center" wrapText="1"/>
    </dxf>
    <dxf>
      <font>
        <name val="Calibri"/>
        <scheme val="none"/>
        <family val="2"/>
        <b val="1"/>
        <i val="0"/>
        <strike val="0"/>
        <u val="none"/>
        <sz val="12"/>
        <color theme="1"/>
      </font>
      <numFmt numFmtId="3" formatCode="#,##0"/>
      <fill>
        <patternFill patternType="solid">
          <bgColor theme="6"/>
        </patternFill>
      </fill>
      <alignment horizontal="right" vertical="center" wrapText="1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2:E15" totalsRowShown="0">
  <autoFilter xmlns:etc="http://www.wps.cn/officeDocument/2017/etCustomData" ref="B2:E15" etc:filterBottomFollowUsedRange="0"/>
  <tableColumns count="4">
    <tableColumn id="1" name="Κατάσταση Αποτελεσμάτων Χρήσης" dataDxfId="0"/>
    <tableColumn id="2" name="2022" dataDxfId="1"/>
    <tableColumn id="3" name="2023" dataDxfId="2"/>
    <tableColumn id="4" name="2024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2:J14" totalsRowShown="0">
  <autoFilter xmlns:etc="http://www.wps.cn/officeDocument/2017/etCustomData" ref="G2:J14" etc:filterBottomFollowUsedRange="0"/>
  <tableColumns count="4">
    <tableColumn id="1" name="Ισολογισμός" dataDxfId="4"/>
    <tableColumn id="2" name="2022" dataDxfId="5"/>
    <tableColumn id="3" name="2023" dataDxfId="6"/>
    <tableColumn id="4" name="2024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2:O15" totalsRowShown="0">
  <autoFilter xmlns:etc="http://www.wps.cn/officeDocument/2017/etCustomData" ref="L2:O15" etc:filterBottomFollowUsedRange="0"/>
  <tableColumns count="4">
    <tableColumn id="1" name="Ταμειακές ροές" dataDxfId="8"/>
    <tableColumn id="2" name="Υπολογισμός" dataDxfId="9"/>
    <tableColumn id="3" name="2023" dataDxfId="10"/>
    <tableColumn id="4" name="2024" dataDxfId="1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:E39" totalsRowShown="0">
  <autoFilter xmlns:etc="http://www.wps.cn/officeDocument/2017/etCustomData" ref="B2:E39" etc:filterBottomFollowUsedRange="0"/>
  <tableColumns count="4">
    <tableColumn id="1" name="Column1"/>
    <tableColumn id="2" name="Column2" dataDxfId="12"/>
    <tableColumn id="3" name="Column3" dataDxfId="13"/>
    <tableColumn id="4" name="Column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4"/>
  <sheetViews>
    <sheetView zoomScale="120" zoomScaleNormal="120" workbookViewId="0">
      <selection activeCell="E11" sqref="E11"/>
    </sheetView>
  </sheetViews>
  <sheetFormatPr defaultColWidth="9" defaultRowHeight="14.4"/>
  <cols>
    <col min="1" max="1" width="2" style="1" customWidth="1"/>
    <col min="2" max="2" width="30.0925925925926" style="11" customWidth="1"/>
    <col min="3" max="5" width="10.3611111111111" style="12" customWidth="1"/>
    <col min="6" max="6" width="1.72222222222222" style="1" customWidth="1"/>
    <col min="7" max="7" width="20" customWidth="1"/>
    <col min="8" max="10" width="7.90740740740741" customWidth="1"/>
    <col min="11" max="11" width="1.26851851851852" style="1" customWidth="1"/>
    <col min="12" max="12" width="27.3611111111111" customWidth="1"/>
    <col min="13" max="13" width="36" customWidth="1"/>
    <col min="14" max="15" width="6.62962962962963" customWidth="1"/>
    <col min="16" max="32" width="8.72222222222222" style="1"/>
  </cols>
  <sheetData>
    <row r="1" ht="15.6" spans="1:18">
      <c r="A1" s="13"/>
      <c r="B1" s="14"/>
      <c r="C1" s="15"/>
      <c r="D1" s="15"/>
      <c r="E1" s="15"/>
      <c r="F1" s="13"/>
      <c r="G1" s="16"/>
      <c r="H1" s="16"/>
      <c r="I1" s="16"/>
      <c r="J1" s="16"/>
      <c r="K1" s="13"/>
      <c r="L1" s="16"/>
      <c r="M1" s="16"/>
      <c r="N1" s="16"/>
      <c r="O1" s="16"/>
      <c r="P1" s="13"/>
      <c r="Q1" s="13"/>
      <c r="R1" s="13"/>
    </row>
    <row r="2" ht="14" customHeight="1" spans="1:18">
      <c r="A2" s="13"/>
      <c r="B2" s="17" t="s">
        <v>0</v>
      </c>
      <c r="C2" s="18" t="s">
        <v>1</v>
      </c>
      <c r="D2" s="18" t="s">
        <v>2</v>
      </c>
      <c r="E2" s="18" t="s">
        <v>3</v>
      </c>
      <c r="F2" s="13"/>
      <c r="G2" s="17" t="s">
        <v>4</v>
      </c>
      <c r="H2" s="19" t="s">
        <v>1</v>
      </c>
      <c r="I2" s="19" t="s">
        <v>2</v>
      </c>
      <c r="J2" s="19" t="s">
        <v>3</v>
      </c>
      <c r="K2" s="13"/>
      <c r="L2" s="17" t="s">
        <v>5</v>
      </c>
      <c r="M2" s="17" t="s">
        <v>6</v>
      </c>
      <c r="N2" s="37" t="s">
        <v>2</v>
      </c>
      <c r="O2" s="37" t="s">
        <v>3</v>
      </c>
      <c r="P2" s="13"/>
      <c r="Q2" s="13"/>
      <c r="R2" s="13"/>
    </row>
    <row r="3" ht="14" customHeight="1" spans="1:18">
      <c r="A3" s="13"/>
      <c r="B3" s="20" t="s">
        <v>7</v>
      </c>
      <c r="C3" s="21">
        <v>22000</v>
      </c>
      <c r="D3" s="21">
        <v>24000</v>
      </c>
      <c r="E3" s="21">
        <v>26500</v>
      </c>
      <c r="F3" s="13"/>
      <c r="G3" s="22" t="s">
        <v>8</v>
      </c>
      <c r="H3" s="23">
        <v>17000</v>
      </c>
      <c r="I3" s="23">
        <v>18000</v>
      </c>
      <c r="J3" s="23">
        <v>19000</v>
      </c>
      <c r="K3" s="13"/>
      <c r="L3" s="28" t="s">
        <v>9</v>
      </c>
      <c r="M3" s="27" t="s">
        <v>10</v>
      </c>
      <c r="N3" s="38">
        <f>D11</f>
        <v>2652</v>
      </c>
      <c r="O3" s="38">
        <f>E11</f>
        <v>3315</v>
      </c>
      <c r="P3" s="13"/>
      <c r="Q3" s="13"/>
      <c r="R3" s="13"/>
    </row>
    <row r="4" ht="14" customHeight="1" spans="1:18">
      <c r="A4" s="13"/>
      <c r="B4" s="20" t="s">
        <v>11</v>
      </c>
      <c r="C4" s="21">
        <v>15400</v>
      </c>
      <c r="D4" s="21">
        <v>16800</v>
      </c>
      <c r="E4" s="21">
        <v>18200</v>
      </c>
      <c r="F4" s="13"/>
      <c r="G4" s="22" t="s">
        <v>12</v>
      </c>
      <c r="H4" s="23">
        <v>0</v>
      </c>
      <c r="I4" s="23">
        <v>800</v>
      </c>
      <c r="J4" s="23">
        <v>1700</v>
      </c>
      <c r="K4" s="13"/>
      <c r="L4" s="28" t="s">
        <v>13</v>
      </c>
      <c r="M4" s="27" t="s">
        <v>14</v>
      </c>
      <c r="N4" s="38">
        <f>I4-H4</f>
        <v>800</v>
      </c>
      <c r="O4" s="38">
        <f>J4-I4</f>
        <v>900</v>
      </c>
      <c r="P4" s="13"/>
      <c r="Q4" s="13"/>
      <c r="R4" s="13"/>
    </row>
    <row r="5" ht="14" customHeight="1" spans="1:18">
      <c r="A5" s="13"/>
      <c r="B5" s="24" t="s">
        <v>15</v>
      </c>
      <c r="C5" s="25">
        <f>C3-C4</f>
        <v>6600</v>
      </c>
      <c r="D5" s="25">
        <f t="shared" ref="D5:E5" si="0">D3-D4</f>
        <v>7200</v>
      </c>
      <c r="E5" s="25">
        <f t="shared" si="0"/>
        <v>8300</v>
      </c>
      <c r="F5" s="13"/>
      <c r="G5" s="22" t="s">
        <v>16</v>
      </c>
      <c r="H5" s="26">
        <f>H3-H4</f>
        <v>17000</v>
      </c>
      <c r="I5" s="26">
        <f>I3-I4</f>
        <v>17200</v>
      </c>
      <c r="J5" s="26">
        <f>J3-J4</f>
        <v>17300</v>
      </c>
      <c r="K5" s="13"/>
      <c r="L5" s="28" t="s">
        <v>17</v>
      </c>
      <c r="M5" s="27" t="s">
        <v>18</v>
      </c>
      <c r="N5" s="38">
        <f>-(I6-H6)</f>
        <v>-500</v>
      </c>
      <c r="O5" s="38">
        <f>-(J6-I6)</f>
        <v>-500</v>
      </c>
      <c r="P5" s="13"/>
      <c r="Q5" s="13"/>
      <c r="R5" s="13"/>
    </row>
    <row r="6" ht="14" customHeight="1" spans="1:18">
      <c r="A6" s="13"/>
      <c r="B6" s="20" t="s">
        <v>19</v>
      </c>
      <c r="C6" s="21">
        <v>3000</v>
      </c>
      <c r="D6" s="21">
        <v>3200</v>
      </c>
      <c r="E6" s="21">
        <v>3400</v>
      </c>
      <c r="F6" s="13"/>
      <c r="G6" s="27" t="s">
        <v>20</v>
      </c>
      <c r="H6" s="26">
        <v>4500</v>
      </c>
      <c r="I6" s="26">
        <v>5000</v>
      </c>
      <c r="J6" s="26">
        <v>5500</v>
      </c>
      <c r="K6" s="13"/>
      <c r="L6" s="28" t="s">
        <v>21</v>
      </c>
      <c r="M6" s="27" t="s">
        <v>22</v>
      </c>
      <c r="N6" s="38">
        <f>-(I7-H7)</f>
        <v>-300</v>
      </c>
      <c r="O6" s="38">
        <f>-(J7-I7)</f>
        <v>-300</v>
      </c>
      <c r="P6" s="13"/>
      <c r="Q6" s="13"/>
      <c r="R6" s="13"/>
    </row>
    <row r="7" ht="14" customHeight="1" spans="1:18">
      <c r="A7" s="13"/>
      <c r="B7" s="24" t="s">
        <v>23</v>
      </c>
      <c r="C7" s="25">
        <f>C5-C6</f>
        <v>3600</v>
      </c>
      <c r="D7" s="25">
        <f t="shared" ref="D7:E7" si="1">D5-D6</f>
        <v>4000</v>
      </c>
      <c r="E7" s="25">
        <f t="shared" si="1"/>
        <v>4900</v>
      </c>
      <c r="F7" s="13"/>
      <c r="G7" s="22" t="s">
        <v>24</v>
      </c>
      <c r="H7" s="23">
        <v>3700</v>
      </c>
      <c r="I7" s="23">
        <v>4000</v>
      </c>
      <c r="J7" s="23">
        <v>4300</v>
      </c>
      <c r="K7" s="13"/>
      <c r="L7" s="28" t="s">
        <v>25</v>
      </c>
      <c r="M7" s="27" t="s">
        <v>26</v>
      </c>
      <c r="N7" s="38">
        <f>(I12-H12)</f>
        <v>300</v>
      </c>
      <c r="O7" s="38">
        <f>(J12-I12)</f>
        <v>200</v>
      </c>
      <c r="P7" s="13"/>
      <c r="Q7" s="13"/>
      <c r="R7" s="13"/>
    </row>
    <row r="8" ht="14" customHeight="1" spans="1:18">
      <c r="A8" s="13"/>
      <c r="B8" s="20" t="s">
        <v>27</v>
      </c>
      <c r="C8" s="21">
        <v>500</v>
      </c>
      <c r="D8" s="21">
        <v>600</v>
      </c>
      <c r="E8" s="21">
        <v>650</v>
      </c>
      <c r="F8" s="13"/>
      <c r="G8" s="27" t="s">
        <v>28</v>
      </c>
      <c r="H8" s="26">
        <v>1500</v>
      </c>
      <c r="I8" s="26">
        <f>H8+N13</f>
        <v>3523.8</v>
      </c>
      <c r="J8" s="26">
        <f>I8+O13</f>
        <v>5478.55</v>
      </c>
      <c r="K8" s="13"/>
      <c r="L8" s="28" t="s">
        <v>29</v>
      </c>
      <c r="M8" s="27" t="s">
        <v>30</v>
      </c>
      <c r="N8" s="38">
        <f>SUM(N3:N7)</f>
        <v>2952</v>
      </c>
      <c r="O8" s="38">
        <f>SUM(O3:O7)</f>
        <v>3615</v>
      </c>
      <c r="P8" s="13"/>
      <c r="Q8" s="13"/>
      <c r="R8" s="13"/>
    </row>
    <row r="9" ht="14" customHeight="1" spans="1:18">
      <c r="A9" s="13"/>
      <c r="B9" s="24" t="s">
        <v>31</v>
      </c>
      <c r="C9" s="25">
        <f>C7-C8</f>
        <v>3100</v>
      </c>
      <c r="D9" s="25">
        <f t="shared" ref="D9:E9" si="2">D7-D8</f>
        <v>3400</v>
      </c>
      <c r="E9" s="25">
        <f t="shared" si="2"/>
        <v>4250</v>
      </c>
      <c r="F9" s="13"/>
      <c r="G9" s="28" t="s">
        <v>32</v>
      </c>
      <c r="H9" s="29">
        <f>H5+H6+H7+H8</f>
        <v>26700</v>
      </c>
      <c r="I9" s="29">
        <f>I5+I6+I7+I8</f>
        <v>29723.8</v>
      </c>
      <c r="J9" s="29">
        <f>J5+J6+J7+J8</f>
        <v>32578.55</v>
      </c>
      <c r="K9" s="13"/>
      <c r="L9" s="28" t="s">
        <v>33</v>
      </c>
      <c r="M9" s="27" t="s">
        <v>34</v>
      </c>
      <c r="N9" s="38">
        <f>-(I3-H3)</f>
        <v>-1000</v>
      </c>
      <c r="O9" s="38">
        <f>-(J3-I3)</f>
        <v>-1000</v>
      </c>
      <c r="P9" s="13"/>
      <c r="Q9" s="13"/>
      <c r="R9" s="13"/>
    </row>
    <row r="10" ht="14" customHeight="1" spans="1:18">
      <c r="A10" s="13"/>
      <c r="B10" s="20" t="s">
        <v>35</v>
      </c>
      <c r="C10" s="21">
        <f>C9*0.22</f>
        <v>682</v>
      </c>
      <c r="D10" s="21">
        <f t="shared" ref="D10:E10" si="3">D9*0.22</f>
        <v>748</v>
      </c>
      <c r="E10" s="21">
        <f t="shared" si="3"/>
        <v>935</v>
      </c>
      <c r="F10" s="13"/>
      <c r="G10" s="28" t="s">
        <v>36</v>
      </c>
      <c r="H10" s="29">
        <v>14000</v>
      </c>
      <c r="I10" s="29">
        <f>H10+D15</f>
        <v>15723.8</v>
      </c>
      <c r="J10" s="29">
        <f>I10+E15</f>
        <v>17878.55</v>
      </c>
      <c r="K10" s="13"/>
      <c r="L10" s="28" t="s">
        <v>37</v>
      </c>
      <c r="M10" s="27" t="s">
        <v>38</v>
      </c>
      <c r="N10" s="38">
        <f>(I11-H11)</f>
        <v>1000</v>
      </c>
      <c r="O10" s="38">
        <f>(J11-I11)</f>
        <v>500</v>
      </c>
      <c r="P10" s="13"/>
      <c r="Q10" s="13"/>
      <c r="R10" s="13"/>
    </row>
    <row r="11" ht="14" customHeight="1" spans="1:18">
      <c r="A11" s="13"/>
      <c r="B11" s="24" t="s">
        <v>9</v>
      </c>
      <c r="C11" s="25">
        <f>C9-C10</f>
        <v>2418</v>
      </c>
      <c r="D11" s="25">
        <f t="shared" ref="D11:E11" si="4">D9-D10</f>
        <v>2652</v>
      </c>
      <c r="E11" s="25">
        <f t="shared" si="4"/>
        <v>3315</v>
      </c>
      <c r="F11" s="13"/>
      <c r="G11" s="22" t="s">
        <v>39</v>
      </c>
      <c r="H11" s="23">
        <v>7000</v>
      </c>
      <c r="I11" s="23">
        <v>8000</v>
      </c>
      <c r="J11" s="23">
        <v>8500</v>
      </c>
      <c r="K11" s="13"/>
      <c r="L11" s="27"/>
      <c r="M11" s="27" t="s">
        <v>40</v>
      </c>
      <c r="N11" s="38">
        <f>-D14</f>
        <v>-928.2</v>
      </c>
      <c r="O11" s="38">
        <f>-E14</f>
        <v>-1160.25</v>
      </c>
      <c r="P11" s="13"/>
      <c r="Q11" s="13"/>
      <c r="R11" s="13"/>
    </row>
    <row r="12" ht="14" customHeight="1" spans="1:18">
      <c r="A12" s="13"/>
      <c r="B12" s="20" t="s">
        <v>12</v>
      </c>
      <c r="C12" s="21">
        <f>H4</f>
        <v>0</v>
      </c>
      <c r="D12" s="21">
        <f>I4-H4</f>
        <v>800</v>
      </c>
      <c r="E12" s="21">
        <f>J4-I4</f>
        <v>900</v>
      </c>
      <c r="F12" s="13"/>
      <c r="G12" s="22" t="s">
        <v>41</v>
      </c>
      <c r="H12" s="23">
        <v>5700</v>
      </c>
      <c r="I12" s="23">
        <v>6000</v>
      </c>
      <c r="J12" s="23">
        <v>6200</v>
      </c>
      <c r="K12" s="13"/>
      <c r="L12" s="28" t="s">
        <v>42</v>
      </c>
      <c r="M12" s="27" t="s">
        <v>43</v>
      </c>
      <c r="N12" s="38">
        <f>N10+N11</f>
        <v>71.8000000000001</v>
      </c>
      <c r="O12" s="38">
        <f>O10+O11</f>
        <v>-660.25</v>
      </c>
      <c r="P12" s="13"/>
      <c r="Q12" s="13"/>
      <c r="R12" s="13"/>
    </row>
    <row r="13" ht="14" customHeight="1" spans="1:18">
      <c r="A13" s="13"/>
      <c r="B13" s="24" t="s">
        <v>44</v>
      </c>
      <c r="C13" s="25">
        <f>C7+C12</f>
        <v>3600</v>
      </c>
      <c r="D13" s="25">
        <f>D7+D12</f>
        <v>4800</v>
      </c>
      <c r="E13" s="25">
        <f>E7+E12</f>
        <v>5800</v>
      </c>
      <c r="F13" s="13"/>
      <c r="G13" s="28" t="s">
        <v>45</v>
      </c>
      <c r="H13" s="29">
        <f>H10+H11+H12</f>
        <v>26700</v>
      </c>
      <c r="I13" s="29">
        <f t="shared" ref="I13:J13" si="5">I10+I11+I12</f>
        <v>29723.8</v>
      </c>
      <c r="J13" s="29">
        <f t="shared" si="5"/>
        <v>32578.55</v>
      </c>
      <c r="K13" s="13"/>
      <c r="L13" s="28" t="s">
        <v>46</v>
      </c>
      <c r="M13" s="27" t="s">
        <v>47</v>
      </c>
      <c r="N13" s="38">
        <f>N8+N9+N12</f>
        <v>2023.8</v>
      </c>
      <c r="O13" s="38">
        <f>O8+O9+O12</f>
        <v>1954.75</v>
      </c>
      <c r="P13" s="13"/>
      <c r="Q13" s="13"/>
      <c r="R13" s="13"/>
    </row>
    <row r="14" ht="14" customHeight="1" spans="1:18">
      <c r="A14" s="13"/>
      <c r="B14" s="30" t="s">
        <v>48</v>
      </c>
      <c r="C14" s="31">
        <f>0.35*C11</f>
        <v>846.3</v>
      </c>
      <c r="D14" s="31">
        <f t="shared" ref="D14:E14" si="6">0.35*D11</f>
        <v>928.2</v>
      </c>
      <c r="E14" s="31">
        <f t="shared" si="6"/>
        <v>1160.25</v>
      </c>
      <c r="F14" s="13"/>
      <c r="G14" s="16"/>
      <c r="H14" s="32"/>
      <c r="I14" s="32"/>
      <c r="J14" s="32"/>
      <c r="K14" s="13"/>
      <c r="L14" s="28" t="s">
        <v>49</v>
      </c>
      <c r="M14" s="39">
        <v>1500</v>
      </c>
      <c r="N14" s="40">
        <f>H8</f>
        <v>1500</v>
      </c>
      <c r="O14" s="40">
        <f>I8</f>
        <v>3523.8</v>
      </c>
      <c r="P14" s="13"/>
      <c r="Q14" s="13"/>
      <c r="R14" s="13"/>
    </row>
    <row r="15" ht="14" customHeight="1" spans="1:18">
      <c r="A15" s="13"/>
      <c r="B15" s="30" t="s">
        <v>50</v>
      </c>
      <c r="C15" s="31">
        <f>C11-C14</f>
        <v>1571.7</v>
      </c>
      <c r="D15" s="31">
        <f t="shared" ref="D15:E15" si="7">D11-D14</f>
        <v>1723.8</v>
      </c>
      <c r="E15" s="31">
        <f t="shared" si="7"/>
        <v>2154.75</v>
      </c>
      <c r="F15" s="13"/>
      <c r="G15" s="16"/>
      <c r="H15" s="16"/>
      <c r="I15" s="16"/>
      <c r="J15" s="16"/>
      <c r="K15" s="13"/>
      <c r="L15" s="28" t="s">
        <v>51</v>
      </c>
      <c r="M15" s="27" t="s">
        <v>52</v>
      </c>
      <c r="N15" s="38">
        <f>N13+N14</f>
        <v>3523.8</v>
      </c>
      <c r="O15" s="38">
        <f>O13+O14</f>
        <v>5478.55</v>
      </c>
      <c r="P15" s="13"/>
      <c r="Q15" s="13"/>
      <c r="R15" s="13"/>
    </row>
    <row r="16" s="1" customFormat="1" ht="15.6" spans="1:18">
      <c r="A16" s="13"/>
      <c r="B16" s="33"/>
      <c r="C16" s="34"/>
      <c r="D16" s="34"/>
      <c r="E16" s="34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="1" customFormat="1" ht="15.6" spans="1:18">
      <c r="A17" s="13"/>
      <c r="B17" s="33"/>
      <c r="C17" s="34"/>
      <c r="D17" s="34"/>
      <c r="E17" s="34"/>
      <c r="F17" s="13"/>
      <c r="G17" s="13"/>
      <c r="H17" s="13"/>
      <c r="I17" s="13"/>
      <c r="J17" s="41"/>
      <c r="K17" s="13"/>
      <c r="L17" s="13"/>
      <c r="M17" s="13"/>
      <c r="N17" s="13"/>
      <c r="O17" s="13"/>
      <c r="P17" s="13"/>
      <c r="Q17" s="13"/>
      <c r="R17" s="13"/>
    </row>
    <row r="18" s="1" customFormat="1" ht="15.6" spans="1:18">
      <c r="A18" s="13"/>
      <c r="B18" s="33"/>
      <c r="C18" s="34"/>
      <c r="D18" s="34"/>
      <c r="E18" s="34"/>
      <c r="F18" s="13"/>
      <c r="G18" s="13"/>
      <c r="H18" s="13"/>
      <c r="I18" s="13"/>
      <c r="J18" s="41"/>
      <c r="K18" s="13"/>
      <c r="L18" s="13"/>
      <c r="M18" s="13"/>
      <c r="N18" s="13"/>
      <c r="O18" s="13"/>
      <c r="P18" s="13"/>
      <c r="Q18" s="13"/>
      <c r="R18" s="13"/>
    </row>
    <row r="19" s="1" customFormat="1" ht="15.6" spans="1:18">
      <c r="A19" s="13"/>
      <c r="B19" s="33"/>
      <c r="C19" s="34"/>
      <c r="D19" s="34"/>
      <c r="E19" s="34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="1" customFormat="1" ht="15.6" spans="1:18">
      <c r="A20" s="13"/>
      <c r="B20" s="33"/>
      <c r="C20" s="34"/>
      <c r="D20" s="34"/>
      <c r="E20" s="3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="1" customFormat="1" ht="15.6" spans="1:18">
      <c r="A21" s="13"/>
      <c r="B21" s="33"/>
      <c r="C21" s="34"/>
      <c r="D21" s="34"/>
      <c r="E21" s="34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="1" customFormat="1" ht="15.6" spans="1:18">
      <c r="A22" s="13"/>
      <c r="B22" s="33"/>
      <c r="C22" s="34"/>
      <c r="D22" s="34"/>
      <c r="E22" s="3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="1" customFormat="1" ht="15.6" spans="1:18">
      <c r="A23" s="13"/>
      <c r="B23" s="33"/>
      <c r="C23" s="34"/>
      <c r="D23" s="34"/>
      <c r="E23" s="34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="1" customFormat="1" ht="15.6" spans="1:18">
      <c r="A24" s="13"/>
      <c r="B24" s="33"/>
      <c r="C24" s="34"/>
      <c r="D24" s="34"/>
      <c r="E24" s="34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="1" customFormat="1" ht="15.6" spans="1:18">
      <c r="A25" s="13"/>
      <c r="B25" s="33"/>
      <c r="C25" s="34"/>
      <c r="D25" s="34"/>
      <c r="E25" s="34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="1" customFormat="1" ht="15.6" spans="1:18">
      <c r="A26" s="13"/>
      <c r="B26" s="33"/>
      <c r="C26" s="34"/>
      <c r="D26" s="34"/>
      <c r="E26" s="34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="1" customFormat="1" ht="15.6" spans="1:18">
      <c r="A27" s="13"/>
      <c r="B27" s="33"/>
      <c r="C27" s="34"/>
      <c r="D27" s="34"/>
      <c r="E27" s="3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="1" customFormat="1" ht="15.6" spans="1:18">
      <c r="A28" s="13"/>
      <c r="B28" s="33"/>
      <c r="C28" s="34"/>
      <c r="D28" s="34"/>
      <c r="E28" s="34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="1" customFormat="1" ht="15.6" spans="1:18">
      <c r="A29" s="13"/>
      <c r="B29" s="33"/>
      <c r="C29" s="34"/>
      <c r="D29" s="34"/>
      <c r="E29" s="34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="1" customFormat="1" ht="15.6" spans="1:18">
      <c r="A30" s="13"/>
      <c r="B30" s="33"/>
      <c r="C30" s="34"/>
      <c r="D30" s="34"/>
      <c r="E30" s="3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="1" customFormat="1" ht="15.6" spans="1:18">
      <c r="A31" s="13"/>
      <c r="B31" s="33"/>
      <c r="C31" s="34"/>
      <c r="D31" s="34"/>
      <c r="E31" s="34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="1" customFormat="1" spans="2:5">
      <c r="B32" s="35"/>
      <c r="C32" s="36"/>
      <c r="D32" s="36"/>
      <c r="E32" s="36"/>
    </row>
    <row r="33" s="1" customFormat="1" spans="2:5">
      <c r="B33" s="35"/>
      <c r="C33" s="36"/>
      <c r="D33" s="36"/>
      <c r="E33" s="36"/>
    </row>
    <row r="34" s="1" customFormat="1" spans="2:5">
      <c r="B34" s="35"/>
      <c r="C34" s="36"/>
      <c r="D34" s="36"/>
      <c r="E34" s="36"/>
    </row>
    <row r="35" s="1" customFormat="1" spans="2:5">
      <c r="B35" s="35"/>
      <c r="C35" s="36"/>
      <c r="D35" s="36"/>
      <c r="E35" s="36"/>
    </row>
    <row r="36" s="1" customFormat="1" spans="2:5">
      <c r="B36" s="35"/>
      <c r="C36" s="36"/>
      <c r="D36" s="36"/>
      <c r="E36" s="36"/>
    </row>
    <row r="37" s="1" customFormat="1" spans="2:5">
      <c r="B37" s="35"/>
      <c r="C37" s="36"/>
      <c r="D37" s="36"/>
      <c r="E37" s="36"/>
    </row>
    <row r="38" s="1" customFormat="1" spans="2:5">
      <c r="B38" s="35"/>
      <c r="C38" s="36"/>
      <c r="D38" s="36"/>
      <c r="E38" s="36"/>
    </row>
    <row r="39" s="1" customFormat="1" spans="2:5">
      <c r="B39" s="35"/>
      <c r="C39" s="36"/>
      <c r="D39" s="36"/>
      <c r="E39" s="36"/>
    </row>
    <row r="40" s="1" customFormat="1" spans="2:5">
      <c r="B40" s="35"/>
      <c r="C40" s="36"/>
      <c r="D40" s="36"/>
      <c r="E40" s="36"/>
    </row>
    <row r="41" s="1" customFormat="1" spans="2:5">
      <c r="B41" s="35"/>
      <c r="C41" s="36"/>
      <c r="D41" s="36"/>
      <c r="E41" s="36"/>
    </row>
    <row r="42" s="1" customFormat="1" spans="2:5">
      <c r="B42" s="35"/>
      <c r="C42" s="36"/>
      <c r="D42" s="36"/>
      <c r="E42" s="36"/>
    </row>
    <row r="43" s="1" customFormat="1" spans="2:5">
      <c r="B43" s="35"/>
      <c r="C43" s="36"/>
      <c r="D43" s="36"/>
      <c r="E43" s="36"/>
    </row>
    <row r="44" s="1" customFormat="1" spans="2:5">
      <c r="B44" s="35"/>
      <c r="C44" s="36"/>
      <c r="D44" s="36"/>
      <c r="E44" s="36"/>
    </row>
    <row r="45" s="1" customFormat="1" spans="2:5">
      <c r="B45" s="35"/>
      <c r="C45" s="36"/>
      <c r="D45" s="36"/>
      <c r="E45" s="36"/>
    </row>
    <row r="46" s="1" customFormat="1" spans="2:5">
      <c r="B46" s="35"/>
      <c r="C46" s="36"/>
      <c r="D46" s="36"/>
      <c r="E46" s="36"/>
    </row>
    <row r="47" s="1" customFormat="1" spans="2:5">
      <c r="B47" s="35"/>
      <c r="C47" s="36"/>
      <c r="D47" s="36"/>
      <c r="E47" s="36"/>
    </row>
    <row r="48" s="1" customFormat="1" spans="2:5">
      <c r="B48" s="35"/>
      <c r="C48" s="36"/>
      <c r="D48" s="36"/>
      <c r="E48" s="36"/>
    </row>
    <row r="49" s="1" customFormat="1" spans="2:5">
      <c r="B49" s="35"/>
      <c r="C49" s="36"/>
      <c r="D49" s="36"/>
      <c r="E49" s="36"/>
    </row>
    <row r="50" s="1" customFormat="1" spans="2:5">
      <c r="B50" s="35"/>
      <c r="C50" s="36"/>
      <c r="D50" s="36"/>
      <c r="E50" s="36"/>
    </row>
    <row r="51" s="1" customFormat="1" spans="2:5">
      <c r="B51" s="35"/>
      <c r="C51" s="36"/>
      <c r="D51" s="36"/>
      <c r="E51" s="36"/>
    </row>
    <row r="52" s="1" customFormat="1" spans="2:5">
      <c r="B52" s="35"/>
      <c r="C52" s="36"/>
      <c r="D52" s="36"/>
      <c r="E52" s="36"/>
    </row>
    <row r="53" s="1" customFormat="1" spans="2:5">
      <c r="B53" s="35"/>
      <c r="C53" s="36"/>
      <c r="D53" s="36"/>
      <c r="E53" s="36"/>
    </row>
    <row r="54" s="1" customFormat="1" spans="2:5">
      <c r="B54" s="35"/>
      <c r="C54" s="36"/>
      <c r="D54" s="36"/>
      <c r="E54" s="36"/>
    </row>
    <row r="55" s="1" customFormat="1" spans="2:5">
      <c r="B55" s="35"/>
      <c r="C55" s="36"/>
      <c r="D55" s="36"/>
      <c r="E55" s="36"/>
    </row>
    <row r="56" s="1" customFormat="1" spans="2:5">
      <c r="B56" s="35"/>
      <c r="C56" s="36"/>
      <c r="D56" s="36"/>
      <c r="E56" s="36"/>
    </row>
    <row r="57" s="1" customFormat="1" spans="2:5">
      <c r="B57" s="35"/>
      <c r="C57" s="36"/>
      <c r="D57" s="36"/>
      <c r="E57" s="36"/>
    </row>
    <row r="58" s="1" customFormat="1" spans="2:5">
      <c r="B58" s="35"/>
      <c r="C58" s="36"/>
      <c r="D58" s="36"/>
      <c r="E58" s="36"/>
    </row>
    <row r="59" s="1" customFormat="1" spans="2:5">
      <c r="B59" s="35"/>
      <c r="C59" s="36"/>
      <c r="D59" s="36"/>
      <c r="E59" s="36"/>
    </row>
    <row r="60" s="1" customFormat="1" spans="2:5">
      <c r="B60" s="35"/>
      <c r="C60" s="36"/>
      <c r="D60" s="36"/>
      <c r="E60" s="36"/>
    </row>
    <row r="61" s="1" customFormat="1" spans="2:5">
      <c r="B61" s="35"/>
      <c r="C61" s="36"/>
      <c r="D61" s="36"/>
      <c r="E61" s="36"/>
    </row>
    <row r="62" s="1" customFormat="1" spans="2:5">
      <c r="B62" s="35"/>
      <c r="C62" s="36"/>
      <c r="D62" s="36"/>
      <c r="E62" s="36"/>
    </row>
    <row r="63" s="1" customFormat="1" spans="2:5">
      <c r="B63" s="35"/>
      <c r="C63" s="36"/>
      <c r="D63" s="36"/>
      <c r="E63" s="36"/>
    </row>
    <row r="64" s="1" customFormat="1" spans="2:5">
      <c r="B64" s="35"/>
      <c r="C64" s="36"/>
      <c r="D64" s="36"/>
      <c r="E64" s="36"/>
    </row>
    <row r="65" s="1" customFormat="1" spans="2:5">
      <c r="B65" s="35"/>
      <c r="C65" s="36"/>
      <c r="D65" s="36"/>
      <c r="E65" s="36"/>
    </row>
    <row r="66" s="1" customFormat="1" spans="2:5">
      <c r="B66" s="35"/>
      <c r="C66" s="36"/>
      <c r="D66" s="36"/>
      <c r="E66" s="36"/>
    </row>
    <row r="67" s="1" customFormat="1" spans="2:5">
      <c r="B67" s="35"/>
      <c r="C67" s="36"/>
      <c r="D67" s="36"/>
      <c r="E67" s="36"/>
    </row>
    <row r="68" s="1" customFormat="1" spans="2:5">
      <c r="B68" s="35"/>
      <c r="C68" s="36"/>
      <c r="D68" s="36"/>
      <c r="E68" s="36"/>
    </row>
    <row r="69" s="1" customFormat="1" spans="2:5">
      <c r="B69" s="35"/>
      <c r="C69" s="36"/>
      <c r="D69" s="36"/>
      <c r="E69" s="36"/>
    </row>
    <row r="70" s="1" customFormat="1" spans="2:5">
      <c r="B70" s="35"/>
      <c r="C70" s="36"/>
      <c r="D70" s="36"/>
      <c r="E70" s="36"/>
    </row>
    <row r="71" s="1" customFormat="1" spans="2:5">
      <c r="B71" s="35"/>
      <c r="C71" s="36"/>
      <c r="D71" s="36"/>
      <c r="E71" s="36"/>
    </row>
    <row r="72" s="1" customFormat="1" spans="2:5">
      <c r="B72" s="35"/>
      <c r="C72" s="36"/>
      <c r="D72" s="36"/>
      <c r="E72" s="36"/>
    </row>
    <row r="73" s="1" customFormat="1" spans="2:5">
      <c r="B73" s="35"/>
      <c r="C73" s="36"/>
      <c r="D73" s="36"/>
      <c r="E73" s="36"/>
    </row>
    <row r="74" s="1" customFormat="1" spans="2:5">
      <c r="B74" s="35"/>
      <c r="C74" s="36"/>
      <c r="D74" s="36"/>
      <c r="E74" s="36"/>
    </row>
    <row r="75" s="1" customFormat="1" spans="2:5">
      <c r="B75" s="35"/>
      <c r="C75" s="36"/>
      <c r="D75" s="36"/>
      <c r="E75" s="36"/>
    </row>
    <row r="76" s="1" customFormat="1" spans="2:5">
      <c r="B76" s="35"/>
      <c r="C76" s="36"/>
      <c r="D76" s="36"/>
      <c r="E76" s="36"/>
    </row>
    <row r="77" s="1" customFormat="1" spans="2:5">
      <c r="B77" s="35"/>
      <c r="C77" s="36"/>
      <c r="D77" s="36"/>
      <c r="E77" s="36"/>
    </row>
    <row r="78" s="1" customFormat="1" spans="2:5">
      <c r="B78" s="35"/>
      <c r="C78" s="36"/>
      <c r="D78" s="36"/>
      <c r="E78" s="36"/>
    </row>
    <row r="79" s="1" customFormat="1" spans="2:5">
      <c r="B79" s="35"/>
      <c r="C79" s="36"/>
      <c r="D79" s="36"/>
      <c r="E79" s="36"/>
    </row>
    <row r="80" s="1" customFormat="1" spans="2:5">
      <c r="B80" s="35"/>
      <c r="C80" s="36"/>
      <c r="D80" s="36"/>
      <c r="E80" s="36"/>
    </row>
    <row r="81" s="1" customFormat="1" spans="2:5">
      <c r="B81" s="35"/>
      <c r="C81" s="36"/>
      <c r="D81" s="36"/>
      <c r="E81" s="36"/>
    </row>
    <row r="82" s="1" customFormat="1" spans="2:5">
      <c r="B82" s="35"/>
      <c r="C82" s="36"/>
      <c r="D82" s="36"/>
      <c r="E82" s="36"/>
    </row>
    <row r="83" s="1" customFormat="1" spans="2:5">
      <c r="B83" s="35"/>
      <c r="C83" s="36"/>
      <c r="D83" s="36"/>
      <c r="E83" s="36"/>
    </row>
    <row r="84" s="1" customFormat="1" spans="2:5">
      <c r="B84" s="35"/>
      <c r="C84" s="36"/>
      <c r="D84" s="36"/>
      <c r="E84" s="36"/>
    </row>
    <row r="85" s="1" customFormat="1" spans="2:5">
      <c r="B85" s="35"/>
      <c r="C85" s="36"/>
      <c r="D85" s="36"/>
      <c r="E85" s="36"/>
    </row>
    <row r="86" s="1" customFormat="1" spans="2:5">
      <c r="B86" s="35"/>
      <c r="C86" s="36"/>
      <c r="D86" s="36"/>
      <c r="E86" s="36"/>
    </row>
    <row r="87" s="1" customFormat="1" spans="2:5">
      <c r="B87" s="35"/>
      <c r="C87" s="36"/>
      <c r="D87" s="36"/>
      <c r="E87" s="36"/>
    </row>
    <row r="88" s="1" customFormat="1" spans="2:5">
      <c r="B88" s="35"/>
      <c r="C88" s="36"/>
      <c r="D88" s="36"/>
      <c r="E88" s="36"/>
    </row>
    <row r="89" s="1" customFormat="1" spans="2:5">
      <c r="B89" s="35"/>
      <c r="C89" s="36"/>
      <c r="D89" s="36"/>
      <c r="E89" s="36"/>
    </row>
    <row r="90" s="1" customFormat="1" spans="2:5">
      <c r="B90" s="35"/>
      <c r="C90" s="36"/>
      <c r="D90" s="36"/>
      <c r="E90" s="36"/>
    </row>
    <row r="91" s="1" customFormat="1" spans="2:5">
      <c r="B91" s="35"/>
      <c r="C91" s="36"/>
      <c r="D91" s="36"/>
      <c r="E91" s="36"/>
    </row>
    <row r="92" s="1" customFormat="1" spans="2:5">
      <c r="B92" s="35"/>
      <c r="C92" s="36"/>
      <c r="D92" s="36"/>
      <c r="E92" s="36"/>
    </row>
    <row r="93" s="1" customFormat="1" spans="2:5">
      <c r="B93" s="35"/>
      <c r="C93" s="36"/>
      <c r="D93" s="36"/>
      <c r="E93" s="36"/>
    </row>
    <row r="94" s="1" customFormat="1" spans="2:5">
      <c r="B94" s="35"/>
      <c r="C94" s="36"/>
      <c r="D94" s="36"/>
      <c r="E94" s="36"/>
    </row>
    <row r="95" s="1" customFormat="1" spans="2:5">
      <c r="B95" s="35"/>
      <c r="C95" s="36"/>
      <c r="D95" s="36"/>
      <c r="E95" s="36"/>
    </row>
    <row r="96" s="1" customFormat="1" spans="2:5">
      <c r="B96" s="35"/>
      <c r="C96" s="36"/>
      <c r="D96" s="36"/>
      <c r="E96" s="36"/>
    </row>
    <row r="97" s="1" customFormat="1" spans="2:5">
      <c r="B97" s="35"/>
      <c r="C97" s="36"/>
      <c r="D97" s="36"/>
      <c r="E97" s="36"/>
    </row>
    <row r="98" s="1" customFormat="1" spans="2:5">
      <c r="B98" s="35"/>
      <c r="C98" s="36"/>
      <c r="D98" s="36"/>
      <c r="E98" s="36"/>
    </row>
    <row r="99" s="1" customFormat="1" spans="2:5">
      <c r="B99" s="35"/>
      <c r="C99" s="36"/>
      <c r="D99" s="36"/>
      <c r="E99" s="36"/>
    </row>
    <row r="100" s="1" customFormat="1" spans="2:5">
      <c r="B100" s="35"/>
      <c r="C100" s="36"/>
      <c r="D100" s="36"/>
      <c r="E100" s="36"/>
    </row>
    <row r="101" s="1" customFormat="1" spans="2:5">
      <c r="B101" s="35"/>
      <c r="C101" s="36"/>
      <c r="D101" s="36"/>
      <c r="E101" s="36"/>
    </row>
    <row r="102" s="1" customFormat="1" spans="2:5">
      <c r="B102" s="35"/>
      <c r="C102" s="36"/>
      <c r="D102" s="36"/>
      <c r="E102" s="36"/>
    </row>
    <row r="103" s="1" customFormat="1" spans="2:5">
      <c r="B103" s="35"/>
      <c r="C103" s="36"/>
      <c r="D103" s="36"/>
      <c r="E103" s="36"/>
    </row>
    <row r="104" s="1" customFormat="1" spans="2:5">
      <c r="B104" s="35"/>
      <c r="C104" s="36"/>
      <c r="D104" s="36"/>
      <c r="E104" s="36"/>
    </row>
    <row r="105" s="1" customFormat="1" spans="2:5">
      <c r="B105" s="35"/>
      <c r="C105" s="36"/>
      <c r="D105" s="36"/>
      <c r="E105" s="36"/>
    </row>
    <row r="106" s="1" customFormat="1" spans="2:5">
      <c r="B106" s="35"/>
      <c r="C106" s="36"/>
      <c r="D106" s="36"/>
      <c r="E106" s="36"/>
    </row>
    <row r="107" s="1" customFormat="1" spans="2:5">
      <c r="B107" s="35"/>
      <c r="C107" s="36"/>
      <c r="D107" s="36"/>
      <c r="E107" s="36"/>
    </row>
    <row r="108" s="1" customFormat="1" spans="2:5">
      <c r="B108" s="35"/>
      <c r="C108" s="36"/>
      <c r="D108" s="36"/>
      <c r="E108" s="36"/>
    </row>
    <row r="109" s="1" customFormat="1" spans="2:5">
      <c r="B109" s="35"/>
      <c r="C109" s="36"/>
      <c r="D109" s="36"/>
      <c r="E109" s="36"/>
    </row>
    <row r="110" s="1" customFormat="1" spans="2:5">
      <c r="B110" s="35"/>
      <c r="C110" s="36"/>
      <c r="D110" s="36"/>
      <c r="E110" s="36"/>
    </row>
    <row r="111" s="1" customFormat="1" spans="2:5">
      <c r="B111" s="35"/>
      <c r="C111" s="36"/>
      <c r="D111" s="36"/>
      <c r="E111" s="36"/>
    </row>
    <row r="112" s="1" customFormat="1" spans="2:5">
      <c r="B112" s="35"/>
      <c r="C112" s="36"/>
      <c r="D112" s="36"/>
      <c r="E112" s="36"/>
    </row>
    <row r="113" s="1" customFormat="1" spans="2:5">
      <c r="B113" s="35"/>
      <c r="C113" s="36"/>
      <c r="D113" s="36"/>
      <c r="E113" s="36"/>
    </row>
    <row r="114" s="1" customFormat="1" spans="2:5">
      <c r="B114" s="35"/>
      <c r="C114" s="36"/>
      <c r="D114" s="36"/>
      <c r="E114" s="36"/>
    </row>
    <row r="115" s="1" customFormat="1" spans="2:5">
      <c r="B115" s="35"/>
      <c r="C115" s="36"/>
      <c r="D115" s="36"/>
      <c r="E115" s="36"/>
    </row>
    <row r="116" s="1" customFormat="1" spans="2:5">
      <c r="B116" s="35"/>
      <c r="C116" s="36"/>
      <c r="D116" s="36"/>
      <c r="E116" s="36"/>
    </row>
    <row r="117" s="1" customFormat="1" spans="2:5">
      <c r="B117" s="35"/>
      <c r="C117" s="36"/>
      <c r="D117" s="36"/>
      <c r="E117" s="36"/>
    </row>
    <row r="118" s="1" customFormat="1" spans="2:5">
      <c r="B118" s="35"/>
      <c r="C118" s="36"/>
      <c r="D118" s="36"/>
      <c r="E118" s="36"/>
    </row>
    <row r="119" s="1" customFormat="1" spans="2:5">
      <c r="B119" s="35"/>
      <c r="C119" s="36"/>
      <c r="D119" s="36"/>
      <c r="E119" s="36"/>
    </row>
    <row r="120" s="1" customFormat="1" spans="2:5">
      <c r="B120" s="35"/>
      <c r="C120" s="36"/>
      <c r="D120" s="36"/>
      <c r="E120" s="36"/>
    </row>
    <row r="121" s="1" customFormat="1" spans="2:5">
      <c r="B121" s="35"/>
      <c r="C121" s="36"/>
      <c r="D121" s="36"/>
      <c r="E121" s="36"/>
    </row>
    <row r="122" s="1" customFormat="1" spans="2:5">
      <c r="B122" s="35"/>
      <c r="C122" s="36"/>
      <c r="D122" s="36"/>
      <c r="E122" s="36"/>
    </row>
    <row r="123" s="1" customFormat="1" spans="2:5">
      <c r="B123" s="35"/>
      <c r="C123" s="36"/>
      <c r="D123" s="36"/>
      <c r="E123" s="36"/>
    </row>
    <row r="124" s="1" customFormat="1" spans="2:5">
      <c r="B124" s="35"/>
      <c r="C124" s="36"/>
      <c r="D124" s="36"/>
      <c r="E124" s="36"/>
    </row>
    <row r="125" s="1" customFormat="1" spans="2:5">
      <c r="B125" s="35"/>
      <c r="C125" s="36"/>
      <c r="D125" s="36"/>
      <c r="E125" s="36"/>
    </row>
    <row r="126" s="1" customFormat="1" spans="2:5">
      <c r="B126" s="35"/>
      <c r="C126" s="36"/>
      <c r="D126" s="36"/>
      <c r="E126" s="36"/>
    </row>
    <row r="127" s="1" customFormat="1" spans="2:5">
      <c r="B127" s="35"/>
      <c r="C127" s="36"/>
      <c r="D127" s="36"/>
      <c r="E127" s="36"/>
    </row>
    <row r="128" s="1" customFormat="1" spans="2:5">
      <c r="B128" s="35"/>
      <c r="C128" s="36"/>
      <c r="D128" s="36"/>
      <c r="E128" s="36"/>
    </row>
    <row r="129" s="1" customFormat="1" spans="2:5">
      <c r="B129" s="35"/>
      <c r="C129" s="36"/>
      <c r="D129" s="36"/>
      <c r="E129" s="36"/>
    </row>
    <row r="130" s="1" customFormat="1" spans="2:5">
      <c r="B130" s="35"/>
      <c r="C130" s="36"/>
      <c r="D130" s="36"/>
      <c r="E130" s="36"/>
    </row>
    <row r="131" s="1" customFormat="1" spans="2:5">
      <c r="B131" s="35"/>
      <c r="C131" s="36"/>
      <c r="D131" s="36"/>
      <c r="E131" s="36"/>
    </row>
    <row r="132" s="1" customFormat="1" spans="2:5">
      <c r="B132" s="35"/>
      <c r="C132" s="36"/>
      <c r="D132" s="36"/>
      <c r="E132" s="36"/>
    </row>
    <row r="133" s="1" customFormat="1" spans="2:5">
      <c r="B133" s="35"/>
      <c r="C133" s="36"/>
      <c r="D133" s="36"/>
      <c r="E133" s="36"/>
    </row>
    <row r="134" s="1" customFormat="1" spans="2:5">
      <c r="B134" s="35"/>
      <c r="C134" s="36"/>
      <c r="D134" s="36"/>
      <c r="E134" s="36"/>
    </row>
  </sheetData>
  <pageMargins left="0.75" right="0.75" top="1" bottom="1" header="0.5" footer="0.5"/>
  <headerFooter/>
  <ignoredErrors>
    <ignoredError sqref="C10:E10" formula="1"/>
  </ignoredErrors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13"/>
  <sheetViews>
    <sheetView tabSelected="1" zoomScale="115" zoomScaleNormal="115" workbookViewId="0">
      <selection activeCell="E10" sqref="E10"/>
    </sheetView>
  </sheetViews>
  <sheetFormatPr defaultColWidth="9" defaultRowHeight="14.4" outlineLevelCol="4"/>
  <cols>
    <col min="1" max="1" width="8.72222222222222" style="1"/>
    <col min="2" max="2" width="36" customWidth="1"/>
    <col min="3" max="3" width="18" customWidth="1"/>
    <col min="4" max="4" width="10.2685185185185" customWidth="1"/>
    <col min="5" max="5" width="49.8888888888889" style="1" customWidth="1"/>
    <col min="6" max="63" width="8.72222222222222" style="1"/>
  </cols>
  <sheetData>
    <row r="1" s="1" customFormat="1"/>
    <row r="2" spans="2:5">
      <c r="B2" s="2" t="s">
        <v>53</v>
      </c>
      <c r="C2" s="2" t="s">
        <v>54</v>
      </c>
      <c r="D2" s="3" t="s">
        <v>55</v>
      </c>
      <c r="E2" s="1" t="s">
        <v>56</v>
      </c>
    </row>
    <row r="3" spans="2:4">
      <c r="B3" s="2" t="s">
        <v>57</v>
      </c>
      <c r="C3" s="2">
        <v>2023</v>
      </c>
      <c r="D3" s="3">
        <v>2024</v>
      </c>
    </row>
    <row r="5" spans="2:2">
      <c r="B5" s="2" t="s">
        <v>58</v>
      </c>
    </row>
    <row r="6" spans="2:5">
      <c r="B6" t="s">
        <v>59</v>
      </c>
      <c r="C6" s="4">
        <v>5</v>
      </c>
      <c r="D6" s="4">
        <f>C6</f>
        <v>5</v>
      </c>
      <c r="E6" s="1" t="s">
        <v>60</v>
      </c>
    </row>
    <row r="7" spans="2:4">
      <c r="B7" t="s">
        <v>61</v>
      </c>
      <c r="C7" s="5">
        <v>9000</v>
      </c>
      <c r="D7" s="5">
        <f t="shared" ref="D7" si="0">C7</f>
        <v>9000</v>
      </c>
    </row>
    <row r="8" spans="2:4">
      <c r="B8" s="6" t="s">
        <v>62</v>
      </c>
      <c r="C8" s="7">
        <f>C6*C7</f>
        <v>45000</v>
      </c>
      <c r="D8" s="7">
        <f>D6*D7</f>
        <v>45000</v>
      </c>
    </row>
    <row r="9" spans="2:4">
      <c r="B9" s="6" t="s">
        <v>63</v>
      </c>
      <c r="C9" s="7">
        <f>Balance_Sheet!I11-Balance_Sheet!I8</f>
        <v>4476.2</v>
      </c>
      <c r="D9" s="7">
        <f>Balance_Sheet!J11-Balance_Sheet!J8</f>
        <v>3021.45</v>
      </c>
    </row>
    <row r="10" spans="2:5">
      <c r="B10" s="6" t="s">
        <v>64</v>
      </c>
      <c r="C10" s="8">
        <f>Balance_Sheet!D14/Ratios_Formulas!C7</f>
        <v>0.103133333333333</v>
      </c>
      <c r="D10" s="8">
        <f>Balance_Sheet!E14/Ratios_Formulas!D7</f>
        <v>0.128916666666667</v>
      </c>
      <c r="E10" s="1" t="s">
        <v>65</v>
      </c>
    </row>
    <row r="12" spans="3:3">
      <c r="C12" s="5"/>
    </row>
    <row r="13" spans="2:4">
      <c r="B13" s="2" t="s">
        <v>66</v>
      </c>
      <c r="C13" s="3">
        <v>2023</v>
      </c>
      <c r="D13" s="2">
        <v>2024</v>
      </c>
    </row>
    <row r="14" spans="2:5">
      <c r="B14" s="6" t="s">
        <v>67</v>
      </c>
      <c r="C14" s="7">
        <f>(Balance_Sheet!H6+Balance_Sheet!I6)/2</f>
        <v>4750</v>
      </c>
      <c r="D14" s="7">
        <f>(Balance_Sheet!I6+Balance_Sheet!J6)/2</f>
        <v>5250</v>
      </c>
      <c r="E14" s="1" t="s">
        <v>68</v>
      </c>
    </row>
    <row r="15" spans="2:5">
      <c r="B15" s="6" t="s">
        <v>69</v>
      </c>
      <c r="C15" s="7">
        <f>(Balance_Sheet!H7+Balance_Sheet!I7)/2</f>
        <v>3850</v>
      </c>
      <c r="D15" s="7">
        <f>(Balance_Sheet!I7+Balance_Sheet!J7)/2</f>
        <v>4150</v>
      </c>
      <c r="E15" s="1" t="s">
        <v>70</v>
      </c>
    </row>
    <row r="16" spans="2:5">
      <c r="B16" s="6" t="s">
        <v>71</v>
      </c>
      <c r="C16" s="7">
        <f>(Balance_Sheet!H9+Balance_Sheet!I9)/2</f>
        <v>28211.9</v>
      </c>
      <c r="D16" s="7">
        <f>(Balance_Sheet!I8+Balance_Sheet!J8)/2</f>
        <v>4501.175</v>
      </c>
      <c r="E16" s="1" t="s">
        <v>72</v>
      </c>
    </row>
    <row r="17" spans="2:5">
      <c r="B17" s="6" t="s">
        <v>73</v>
      </c>
      <c r="C17" s="7">
        <f>(Balance_Sheet!H10+Balance_Sheet!I10)/2</f>
        <v>14861.9</v>
      </c>
      <c r="D17" s="7">
        <f>(Balance_Sheet!I9+Balance_Sheet!J9)/2</f>
        <v>31151.175</v>
      </c>
      <c r="E17" s="1" t="s">
        <v>74</v>
      </c>
    </row>
    <row r="18" spans="2:5">
      <c r="B18" s="6" t="s">
        <v>75</v>
      </c>
      <c r="C18" s="7">
        <f>Balance_Sheet!I13</f>
        <v>29723.8</v>
      </c>
      <c r="D18" s="7">
        <f>Balance_Sheet!J13</f>
        <v>32578.55</v>
      </c>
      <c r="E18" s="1" t="s">
        <v>76</v>
      </c>
    </row>
    <row r="19" spans="2:5">
      <c r="B19" s="6" t="s">
        <v>77</v>
      </c>
      <c r="C19" s="7">
        <f>Balance_Sheet!I12</f>
        <v>6000</v>
      </c>
      <c r="D19" s="7">
        <f>Balance_Sheet!J12</f>
        <v>6200</v>
      </c>
      <c r="E19" s="1" t="s">
        <v>78</v>
      </c>
    </row>
    <row r="20" spans="2:5">
      <c r="B20" s="6" t="s">
        <v>79</v>
      </c>
      <c r="C20" s="7">
        <f>Balance_Sheet!I6+Balance_Sheet!I7+Balance_Sheet!I8</f>
        <v>12523.8</v>
      </c>
      <c r="D20" s="7">
        <f>Balance_Sheet!J6+Balance_Sheet!J7+Balance_Sheet!J8</f>
        <v>15278.55</v>
      </c>
      <c r="E20" s="1" t="s">
        <v>80</v>
      </c>
    </row>
    <row r="21" spans="2:5">
      <c r="B21" s="6" t="s">
        <v>81</v>
      </c>
      <c r="C21" s="7">
        <f>C20-C19</f>
        <v>6523.8</v>
      </c>
      <c r="D21" s="7">
        <f>D20-D19</f>
        <v>9078.55</v>
      </c>
      <c r="E21" s="1" t="s">
        <v>82</v>
      </c>
    </row>
    <row r="22" spans="2:5">
      <c r="B22" s="6" t="s">
        <v>83</v>
      </c>
      <c r="C22" s="8">
        <f>C20/C19</f>
        <v>2.0873</v>
      </c>
      <c r="D22" s="8">
        <f>D20/D19</f>
        <v>2.46428225806452</v>
      </c>
      <c r="E22" s="1" t="s">
        <v>84</v>
      </c>
    </row>
    <row r="23" spans="2:5">
      <c r="B23" s="6" t="s">
        <v>85</v>
      </c>
      <c r="C23" s="8">
        <f>(C20-Balance_Sheet!I6)/Ratios_Formulas!C19</f>
        <v>1.25396666666667</v>
      </c>
      <c r="D23" s="8">
        <f>(D20-Balance_Sheet!J6)/Ratios_Formulas!D19</f>
        <v>1.57718548387097</v>
      </c>
      <c r="E23" s="1" t="s">
        <v>86</v>
      </c>
    </row>
    <row r="24" spans="2:5">
      <c r="B24" s="6" t="s">
        <v>87</v>
      </c>
      <c r="C24" s="8">
        <f>Balance_Sheet!I13/Balance_Sheet!I10</f>
        <v>1.89037001233798</v>
      </c>
      <c r="D24" s="8">
        <f>Balance_Sheet!J13/Balance_Sheet!J10</f>
        <v>1.82221432946184</v>
      </c>
      <c r="E24" s="1" t="s">
        <v>88</v>
      </c>
    </row>
    <row r="25" spans="2:4">
      <c r="B25" s="6" t="s">
        <v>89</v>
      </c>
      <c r="C25" s="8">
        <f>C9/Balance_Sheet!D13</f>
        <v>0.932541666666667</v>
      </c>
      <c r="D25" s="8">
        <f>D9/Balance_Sheet!E13</f>
        <v>0.520939655172414</v>
      </c>
    </row>
    <row r="26" spans="2:5">
      <c r="B26" s="6" t="s">
        <v>90</v>
      </c>
      <c r="C26" s="9">
        <f>Balance_Sheet!D11/Balance_Sheet!I10</f>
        <v>0.168661519480024</v>
      </c>
      <c r="D26" s="8">
        <f>Balance_Sheet!E11/Balance_Sheet!J10</f>
        <v>0.185417721235783</v>
      </c>
      <c r="E26" s="1" t="s">
        <v>91</v>
      </c>
    </row>
    <row r="27" spans="2:5">
      <c r="B27" s="6" t="s">
        <v>92</v>
      </c>
      <c r="C27" s="8">
        <f>Balance_Sheet!D11/Balance_Sheet!I9</f>
        <v>0.0892214319837975</v>
      </c>
      <c r="D27" s="9">
        <f>Balance_Sheet!E11/Balance_Sheet!J9</f>
        <v>0.10175406824429</v>
      </c>
      <c r="E27" s="1" t="s">
        <v>93</v>
      </c>
    </row>
    <row r="28" spans="2:5">
      <c r="B28" s="6" t="s">
        <v>94</v>
      </c>
      <c r="C28" s="9">
        <f>Balance_Sheet!D13/Balance_Sheet!D3</f>
        <v>0.2</v>
      </c>
      <c r="D28" s="9">
        <f>Balance_Sheet!E13/Balance_Sheet!E3</f>
        <v>0.218867924528302</v>
      </c>
      <c r="E28" s="1" t="s">
        <v>95</v>
      </c>
    </row>
    <row r="29" spans="2:5">
      <c r="B29" s="6" t="s">
        <v>96</v>
      </c>
      <c r="C29" s="9">
        <f>Balance_Sheet!D11/Balance_Sheet!D3</f>
        <v>0.1105</v>
      </c>
      <c r="D29" s="9">
        <f>Balance_Sheet!E11/Balance_Sheet!E3</f>
        <v>0.125094339622642</v>
      </c>
      <c r="E29" s="1" t="s">
        <v>97</v>
      </c>
    </row>
    <row r="30" spans="2:5">
      <c r="B30" s="6" t="s">
        <v>98</v>
      </c>
      <c r="C30" s="8">
        <f>365/(Balance_Sheet!D4/Ratios_Formulas!C14)</f>
        <v>103.199404761905</v>
      </c>
      <c r="D30" s="8">
        <f>365/(Balance_Sheet!E4/Ratios_Formulas!D14)</f>
        <v>105.288461538462</v>
      </c>
      <c r="E30" s="1" t="s">
        <v>99</v>
      </c>
    </row>
    <row r="31" spans="2:5">
      <c r="B31" s="6" t="s">
        <v>100</v>
      </c>
      <c r="C31" s="8">
        <f>365/(Balance_Sheet!D4/Ratios_Formulas!C15)</f>
        <v>83.6458333333333</v>
      </c>
      <c r="D31" s="8">
        <f>365/(Balance_Sheet!E4/Ratios_Formulas!D15)</f>
        <v>83.228021978022</v>
      </c>
      <c r="E31" s="1" t="s">
        <v>101</v>
      </c>
    </row>
    <row r="32" spans="2:5">
      <c r="B32" s="6" t="s">
        <v>102</v>
      </c>
      <c r="C32" s="8">
        <f>Balance_Sheet!D4/Ratios_Formulas!C18</f>
        <v>0.565203641526319</v>
      </c>
      <c r="D32" s="8">
        <f>Balance_Sheet!E4/Ratios_Formulas!D18</f>
        <v>0.558649786439237</v>
      </c>
      <c r="E32" s="1" t="s">
        <v>103</v>
      </c>
    </row>
    <row r="33" spans="2:5">
      <c r="B33" s="6" t="s">
        <v>104</v>
      </c>
      <c r="C33" s="8">
        <f>Balance_Sheet!D7/Balance_Sheet!D8</f>
        <v>6.66666666666667</v>
      </c>
      <c r="D33" s="8">
        <f>Balance_Sheet!E7/Balance_Sheet!E8</f>
        <v>7.53846153846154</v>
      </c>
      <c r="E33" s="1" t="s">
        <v>105</v>
      </c>
    </row>
    <row r="34" spans="2:5">
      <c r="B34" s="6" t="s">
        <v>106</v>
      </c>
      <c r="C34" s="8">
        <f>Balance_Sheet!D11/Ratios_Formulas!C7</f>
        <v>0.294666666666667</v>
      </c>
      <c r="D34" s="8">
        <f>Balance_Sheet!E11/Ratios_Formulas!D7</f>
        <v>0.368333333333333</v>
      </c>
      <c r="E34" s="1" t="s">
        <v>107</v>
      </c>
    </row>
    <row r="35" spans="2:5">
      <c r="B35" s="6" t="s">
        <v>108</v>
      </c>
      <c r="C35" s="8">
        <f>Balance_Sheet!I10/Ratios_Formulas!C7</f>
        <v>1.74708888888889</v>
      </c>
      <c r="D35" s="8">
        <f>Balance_Sheet!J10/Ratios_Formulas!D7</f>
        <v>1.98650555555556</v>
      </c>
      <c r="E35" s="1" t="s">
        <v>109</v>
      </c>
    </row>
    <row r="36" spans="2:5">
      <c r="B36" s="6" t="s">
        <v>110</v>
      </c>
      <c r="C36" s="8">
        <f>(C6*C7)/Balance_Sheet!D11</f>
        <v>16.9683257918552</v>
      </c>
      <c r="D36" s="8">
        <f>(D6*D7)/Balance_Sheet!E11</f>
        <v>13.5746606334842</v>
      </c>
      <c r="E36" s="1" t="s">
        <v>111</v>
      </c>
    </row>
    <row r="37" spans="2:5">
      <c r="B37" s="6" t="s">
        <v>112</v>
      </c>
      <c r="C37" s="8">
        <f>(C6*C7)/Balance_Sheet!I10</f>
        <v>2.86190361108638</v>
      </c>
      <c r="D37" s="8">
        <f>(D6*D7)/Balance_Sheet!J10</f>
        <v>2.51698264120972</v>
      </c>
      <c r="E37" s="1" t="s">
        <v>113</v>
      </c>
    </row>
    <row r="38" spans="2:5">
      <c r="B38" s="6" t="s">
        <v>114</v>
      </c>
      <c r="C38" s="8">
        <f>(C6*C7+C9)/Balance_Sheet!D13</f>
        <v>10.3075416666667</v>
      </c>
      <c r="D38" s="8">
        <f>(D6*D7+D9)/Balance_Sheet!E13</f>
        <v>8.27956034482759</v>
      </c>
      <c r="E38" s="1" t="s">
        <v>115</v>
      </c>
    </row>
    <row r="39" spans="2:5">
      <c r="B39" s="6" t="s">
        <v>116</v>
      </c>
      <c r="C39" s="9">
        <f>C10/C6</f>
        <v>0.0206266666666667</v>
      </c>
      <c r="D39" s="9">
        <f>D10/D6</f>
        <v>0.0257833333333333</v>
      </c>
      <c r="E39" s="10" t="s">
        <v>117</v>
      </c>
    </row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Balance_Sheet</vt:lpstr>
      <vt:lpstr>Ratios_Formulas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ppapa</cp:lastModifiedBy>
  <dcterms:created xsi:type="dcterms:W3CDTF">2025-10-25T13:16:00Z</dcterms:created>
  <dcterms:modified xsi:type="dcterms:W3CDTF">2025-11-05T15:38:56Z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FC1DDEB7D38C4F5082ADB8EF856A6CF2_12</vt:lpwstr>
  </property>
  <property fmtid="{D5CDD505-2E9C-101B-9397-08002B2CF9AE}" pid="3" name="KSOProductBuildVer">
    <vt:lpwstr>1033-12.2.0.23155</vt:lpwstr>
  </property>
</Properties>
</file>